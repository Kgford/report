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60" yWindow="30" windowWidth="15195" windowHeight="10230" tabRatio="600" firstSheet="0" activeTab="1" autoFilterDateGrouping="1"/>
  </bookViews>
  <sheets>
    <sheet name="Summary" sheetId="1" state="visible" r:id="rId1"/>
    <sheet name="Raw Data" sheetId="2" state="visible" r:id="rId2"/>
    <sheet name="UUT 1" sheetId="3" state="visible" r:id="rId3"/>
    <sheet name="UUT 2" sheetId="4" state="visible" r:id="rId4"/>
    <sheet name="UUT 3" sheetId="5" state="visible" r:id="rId5"/>
    <sheet name="UUT 4" sheetId="6" state="visible" r:id="rId6"/>
    <sheet name="UUT 5" sheetId="7" state="visible" r:id="rId7"/>
  </sheets>
  <definedNames>
    <definedName name="_xlnm.Print_Area" localSheetId="2">'UUT 1'!$A$1:$G$50</definedName>
    <definedName name="_xlnm.Print_Area" localSheetId="3">'UUT 2'!$A$1:$G$50</definedName>
    <definedName name="_xlnm.Print_Area" localSheetId="4">'UUT 3'!$A$1:$G$50</definedName>
    <definedName name="_xlnm.Print_Area" localSheetId="5">'UUT 4'!$A$1:$G$50</definedName>
    <definedName name="_xlnm.Print_Area" localSheetId="6">'UUT 5'!$A$1:$G$50</definedName>
  </definedNames>
  <calcPr calcId="162913" fullCalcOnLoad="1"/>
</workbook>
</file>

<file path=xl/styles.xml><?xml version="1.0" encoding="utf-8"?>
<styleSheet xmlns="http://schemas.openxmlformats.org/spreadsheetml/2006/main">
  <numFmts count="0"/>
  <fonts count="6">
    <font>
      <name val="Arial"/>
      <sz val="10"/>
    </font>
    <font>
      <name val="Arial"/>
      <family val="2"/>
      <b val="1"/>
      <sz val="10"/>
    </font>
    <font>
      <name val="Arial"/>
      <family val="2"/>
      <b val="1"/>
      <sz val="22"/>
    </font>
    <font>
      <name val="Arial"/>
      <family val="2"/>
      <b val="1"/>
      <sz val="9"/>
    </font>
    <font>
      <name val="Arial"/>
      <family val="2"/>
      <b val="1"/>
      <sz val="12"/>
    </font>
    <font>
      <name val="Arial"/>
      <family val="2"/>
      <sz val="10"/>
    </font>
  </fonts>
  <fills count="2">
    <fill>
      <patternFill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1" fillId="0" borderId="0" pivotButton="0" quotePrefix="0" xfId="0"/>
    <xf numFmtId="0" fontId="2" fillId="0" borderId="0" pivotButton="0" quotePrefix="0" xfId="0"/>
    <xf numFmtId="0" fontId="3" fillId="0" borderId="1" pivotButton="0" quotePrefix="0" xfId="0"/>
    <xf numFmtId="0" fontId="3" fillId="0" borderId="2" pivotButton="0" quotePrefix="0" xfId="0"/>
    <xf numFmtId="0" fontId="3" fillId="0" borderId="3" pivotButton="0" quotePrefix="0" xfId="0"/>
    <xf numFmtId="0" fontId="4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5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right"/>
    </xf>
    <xf numFmtId="0" fontId="1" fillId="0" borderId="4" applyAlignment="1" pivotButton="0" quotePrefix="0" xfId="0">
      <alignment horizontal="right"/>
    </xf>
    <xf numFmtId="0" fontId="1" fillId="0" borderId="0" applyAlignment="1" pivotButton="0" quotePrefix="0" xfId="0">
      <alignment horizontal="left"/>
    </xf>
    <xf numFmtId="0" fontId="1" fillId="0" borderId="0" applyAlignment="1" pivotButton="0" quotePrefix="0" xfId="0">
      <alignment horizontal="left"/>
    </xf>
    <xf numFmtId="0" fontId="1" fillId="0" borderId="4" applyAlignment="1" pivotButton="0" quotePrefix="0" xfId="0">
      <alignment horizontal="left"/>
    </xf>
    <xf numFmtId="0" fontId="4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right"/>
    </xf>
    <xf numFmtId="0" fontId="4" fillId="0" borderId="0" applyAlignment="1" pivotButton="0" quotePrefix="0" xfId="0">
      <alignment horizontal="center"/>
    </xf>
    <xf numFmtId="0" fontId="0" fillId="0" borderId="4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/>
            </a:pPr>
            <a:r>
              <a:rPr lang="en-US"/>
              <a:t>Insertion Loss</a:t>
            </a:r>
          </a:p>
        </rich>
      </tx>
      <layout>
        <manualLayout>
          <xMode val="edge"/>
          <yMode val="edge"/>
          <wMode val="factor"/>
          <hMode val="factor"/>
          <x val="0.3717301553522026"/>
          <y val="0.0005150918635170603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2130605802653047"/>
          <y val="0.1398603782774576"/>
          <w val="0.6764705882352942"/>
          <h val="0.5734275524263009"/>
        </manualLayout>
      </layout>
      <scatterChart>
        <scatterStyle val="lineMarker"/>
        <varyColors val="0"/>
        <ser>
          <idx val="2"/>
          <order val="0"/>
          <tx>
            <strRef>
              <f>'UUT 1'!$B$56</f>
              <strCache>
                <ptCount val="1"/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1'!$A$57:$A$310</f>
              <numCache>
                <formatCode>General</formatCode>
                <ptCount val="254"/>
              </numCache>
            </numRef>
          </xVal>
          <yVal>
            <numRef>
              <f>'UUT 1'!$B$57:$B$310</f>
              <numCache>
                <formatCode>General</formatCode>
                <ptCount val="254"/>
              </numCache>
            </numRef>
          </yVal>
          <smooth val="0"/>
        </ser>
        <ser>
          <idx val="3"/>
          <order val="1"/>
          <tx>
            <strRef>
              <f>'UUT 1'!$C$56</f>
              <strCache>
                <ptCount val="1"/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1'!$A$57:$A$310</f>
              <numCache>
                <formatCode>General</formatCode>
                <ptCount val="254"/>
              </numCache>
            </numRef>
          </xVal>
          <yVal>
            <numRef>
              <f>'UUT 1'!$C$57:$C$310</f>
              <numCache>
                <formatCode>General</formatCode>
                <ptCount val="254"/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436297664"/>
        <axId val="1"/>
      </scatterChart>
      <valAx>
        <axId val="436297664"/>
        <scaling>
          <orientation val="minMax"/>
          <max val="11.9409963883294"/>
          <min val="8.610619439019098e-06"/>
        </scaling>
        <delete val="0"/>
        <axPos val="b"/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US"/>
                  <a:t>Frequency MHz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662014967723629"/>
              <y val="0.8944094488188976"/>
            </manualLayout>
          </layout>
          <overlay val="0"/>
        </title>
        <numFmt formatCode="0.00" sourceLinked="0"/>
        <majorTickMark val="out"/>
        <minorTickMark val="none"/>
        <tickLblPos val="nextTo"/>
        <txPr>
          <a:bodyPr rot="270000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t/>
            </a:r>
            <a:endParaRPr lang="en-US"/>
          </a:p>
        </txPr>
        <crossAx val="1"/>
        <crossesAt val="-11.34200000000001"/>
        <crossBetween val="midCat"/>
        <majorUnit val="1.194098777770996"/>
        <minorUnit val="1.194098777770996"/>
      </valAx>
      <valAx>
        <axId val="1"/>
        <scaling>
          <orientation val="minMax"/>
          <max val="4.231442786069652"/>
          <min val="-3.768557213930352"/>
        </scaling>
        <delete val="0"/>
        <axPos val="l"/>
        <majorGridlines/>
        <title>
          <tx>
            <rich>
              <a:bodyPr/>
              <a:lstStyle/>
              <a:p>
                <a:pPr>
                  <a:defRPr/>
                </a:pPr>
                <a:r>
                  <a:rPr lang="en-US"/>
                  <a:t>dBm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564091650705824"/>
              <y val="0.3927498906386702"/>
            </manualLayout>
          </layout>
          <overlay val="0"/>
        </title>
        <numFmt formatCode="0.00" sourceLinked="0"/>
        <majorTickMark val="out"/>
        <minorTickMark val="none"/>
        <tickLblPos val="nextTo"/>
        <txPr>
          <a:bodyPr rot="0" vert="horz"/>
          <a:lstStyle/>
          <a:p>
            <a:pPr>
              <a:defRPr/>
            </a:pPr>
            <a:r>
              <a:t/>
            </a:r>
            <a:endParaRPr lang="en-US"/>
          </a:p>
        </txPr>
        <crossAx val="436297664"/>
        <crossesAt val="0"/>
        <crossBetween val="midCat"/>
        <majorUnit val="2"/>
        <minorUnit val="2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Return</a:t>
            </a:r>
            <a:r>
              <a:rPr lang="en-US" baseline="0"/>
              <a:t xml:space="preserve"> Loss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165675320990282"/>
          <y val="0.02031724295332649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2085561497326203"/>
          <y val="0.1398603786405612"/>
          <w val="0.6764705882352942"/>
          <h val="0.5734275524263009"/>
        </manualLayout>
      </layout>
      <scatterChart>
        <scatterStyle val="lineMarker"/>
        <varyColors val="0"/>
        <ser>
          <idx val="8"/>
          <order val="0"/>
          <tx>
            <strRef>
              <f>'UUT 1'!$E$56</f>
              <strCache>
                <ptCount val="1"/>
              </strCache>
            </strRef>
          </tx>
          <spPr>
            <a:ln w="12700">
              <a:solidFill>
                <a:srgbClr val="00008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1'!$D$57:$D$465</f>
              <numCache>
                <formatCode>General</formatCode>
                <ptCount val="409"/>
              </numCache>
            </numRef>
          </xVal>
          <yVal>
            <numRef>
              <f>'UUT 1'!$E$57:$E$465</f>
              <numCache>
                <formatCode>General</formatCode>
                <ptCount val="409"/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436297008"/>
        <axId val="1"/>
      </scatterChart>
      <valAx>
        <axId val="436297008"/>
        <scaling>
          <orientation val="minMax"/>
          <max val="11.9409963883294"/>
          <min val="8.610619439019098e-06"/>
        </scaling>
        <delete val="0"/>
        <axPos val="b"/>
        <minorGridlines>
          <spPr>
            <a:ln w="3175">
              <a:solidFill>
                <a:srgbClr val="00000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MHz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662014967723629"/>
              <y val="0.894927536231884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270000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"/>
        <crossesAt val="-11.34200000000001"/>
        <crossBetween val="midCat"/>
        <majorUnit val="1.194098777770996"/>
        <minorUnit val="1.194098777770996"/>
      </valAx>
      <valAx>
        <axId val="1"/>
        <scaling>
          <orientation val="minMax"/>
          <max val="4.231442786069652"/>
          <min val="-3.768557213930352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dBm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564091650705824"/>
              <y val="0.392750199703298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436297008"/>
        <crossesAt val="0"/>
        <crossBetween val="midCat"/>
        <majorUnit val="2"/>
        <minorUnit val="2"/>
      </valAx>
    </plotArea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Isolation</a:t>
            </a:r>
          </a:p>
        </rich>
      </tx>
      <layout>
        <manualLayout>
          <xMode val="edge"/>
          <yMode val="edge"/>
          <wMode val="factor"/>
          <hMode val="factor"/>
          <x val="0.432333297864794"/>
          <y val="0.03480953769667681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2085561497326203"/>
          <y val="0.1398603786405612"/>
          <w val="0.6764705882352942"/>
          <h val="0.5734275524263009"/>
        </manualLayout>
      </layout>
      <scatterChart>
        <scatterStyle val="lineMarker"/>
        <varyColors val="0"/>
        <ser>
          <idx val="4"/>
          <order val="0"/>
          <tx>
            <strRef>
              <f>'UUT 1'!$G$56</f>
              <strCache>
                <ptCount val="1"/>
              </strCache>
            </strRef>
          </tx>
          <spPr>
            <a:ln w="12700">
              <a:solidFill>
                <a:srgbClr val="00008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1'!$F$57:$F$310</f>
              <numCache>
                <formatCode>General</formatCode>
                <ptCount val="254"/>
              </numCache>
            </numRef>
          </xVal>
          <yVal>
            <numRef>
              <f>'UUT 1'!$G$57:$G$310</f>
              <numCache>
                <formatCode>General</formatCode>
                <ptCount val="254"/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436292744"/>
        <axId val="1"/>
      </scatterChart>
      <valAx>
        <axId val="436292744"/>
        <scaling>
          <orientation val="minMax"/>
          <max val="11.9409963883294"/>
          <min val="8.610619439019098e-06"/>
        </scaling>
        <delete val="0"/>
        <axPos val="b"/>
        <minorGridlines>
          <spPr>
            <a:ln w="3175">
              <a:solidFill>
                <a:srgbClr val="00000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MHz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662013194296659"/>
              <y val="0.8977072310405644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270000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"/>
        <crossesAt val="-11.34200000000001"/>
        <crossBetween val="midCat"/>
        <majorUnit val="1.194098777770996"/>
        <minorUnit val="1.194098777770996"/>
      </valAx>
      <valAx>
        <axId val="1"/>
        <scaling>
          <orientation val="minMax"/>
          <max val="4.231442786069652"/>
          <min val="-3.768557213930352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dBm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564091650705824"/>
              <y val="0.3927503506506131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436292744"/>
        <crossesAt val="0"/>
        <crossBetween val="midCat"/>
        <majorUnit val="2"/>
        <minorUnit val="2"/>
      </valAx>
    </plotArea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Phase Balance</a:t>
            </a:r>
          </a:p>
        </rich>
      </tx>
      <layout>
        <manualLayout>
          <xMode val="edge"/>
          <yMode val="edge"/>
          <wMode val="factor"/>
          <hMode val="factor"/>
          <x val="0.3827837483152444"/>
          <y val="0.03480987953428898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2085561497326203"/>
          <y val="0.1398603786405612"/>
          <w val="0.6764705882352942"/>
          <h val="0.5734275524263009"/>
        </manualLayout>
      </layout>
      <scatterChart>
        <scatterStyle val="lineMarker"/>
        <varyColors val="0"/>
        <ser>
          <idx val="0"/>
          <order val="0"/>
          <tx>
            <strRef>
              <f>'UUT 1'!$I$56</f>
              <strCache>
                <ptCount val="1"/>
              </strCache>
            </strRef>
          </tx>
          <spPr>
            <a:ln w="12700">
              <a:solidFill>
                <a:srgbClr val="00008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1'!$H$57:$H$308</f>
              <numCache>
                <formatCode>General</formatCode>
                <ptCount val="252"/>
              </numCache>
            </numRef>
          </xVal>
          <yVal>
            <numRef>
              <f>'UUT 1'!$I$57:$I$308</f>
              <numCache>
                <formatCode>General</formatCode>
                <ptCount val="252"/>
              </numCache>
            </numRef>
          </yVal>
          <smooth val="0"/>
        </ser>
        <ser>
          <idx val="1"/>
          <order val="1"/>
          <tx>
            <strRef>
              <f>'UUT 1'!$J$56</f>
              <strCache>
                <ptCount val="1"/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1'!$H$57:$H$308</f>
              <numCache>
                <formatCode>General</formatCode>
                <ptCount val="252"/>
              </numCache>
            </numRef>
          </xVal>
          <yVal>
            <numRef>
              <f>'UUT 1'!$J$57:$J$308</f>
              <numCache>
                <formatCode>General</formatCode>
                <ptCount val="252"/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436290448"/>
        <axId val="1"/>
      </scatterChart>
      <valAx>
        <axId val="436290448"/>
        <scaling>
          <orientation val="minMax"/>
          <max val="11.9409963883294"/>
          <min val="8.610619439019098e-06"/>
        </scaling>
        <delete val="0"/>
        <axPos val="b"/>
        <minorGridlines>
          <spPr>
            <a:ln w="3175">
              <a:solidFill>
                <a:srgbClr val="00000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MHz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662014967723629"/>
              <y val="0.900303385153778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270000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"/>
        <crossesAt val="-11.34200000000001"/>
        <crossBetween val="midCat"/>
        <majorUnit val="1.194098777770996"/>
        <minorUnit val="1.194098777770996"/>
      </valAx>
      <valAx>
        <axId val="1"/>
        <scaling>
          <orientation val="minMax"/>
          <max val="4.231442786069652"/>
          <min val="-3.768557213930352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dBm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564091650705824"/>
              <y val="0.39274998317518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436290448"/>
        <crossesAt val="0"/>
        <crossBetween val="midCat"/>
        <majorUnit val="2"/>
        <minorUnit val="2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/>
            </a:pPr>
            <a:r>
              <a:rPr lang="en-US"/>
              <a:t>Insertion Loss</a:t>
            </a:r>
          </a:p>
        </rich>
      </tx>
      <layout>
        <manualLayout>
          <xMode val="edge"/>
          <yMode val="edge"/>
          <wMode val="factor"/>
          <hMode val="factor"/>
          <x val="0.3289373625594098"/>
          <y val="0.0005150918635170603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2130605802653047"/>
          <y val="0.1398603782774576"/>
          <w val="0.6764705882352942"/>
          <h val="0.5734275524263009"/>
        </manualLayout>
      </layout>
      <scatterChart>
        <scatterStyle val="lineMarker"/>
        <varyColors val="0"/>
        <ser>
          <idx val="2"/>
          <order val="0"/>
          <tx>
            <strRef>
              <f>'UUT 2'!$B$56</f>
              <strCache>
                <ptCount val="1"/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2'!$A$57:$A$310</f>
              <numCache>
                <formatCode>General</formatCode>
                <ptCount val="254"/>
              </numCache>
            </numRef>
          </xVal>
          <yVal>
            <numRef>
              <f>'UUT 2'!$B$57:$B$310</f>
              <numCache>
                <formatCode>General</formatCode>
                <ptCount val="254"/>
              </numCache>
            </numRef>
          </yVal>
          <smooth val="0"/>
        </ser>
        <ser>
          <idx val="3"/>
          <order val="1"/>
          <tx>
            <strRef>
              <f>'UUT 2'!$C$56</f>
              <strCache>
                <ptCount val="1"/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2'!$A$57:$A$310</f>
              <numCache>
                <formatCode>General</formatCode>
                <ptCount val="254"/>
              </numCache>
            </numRef>
          </xVal>
          <yVal>
            <numRef>
              <f>'UUT 2'!$C$57:$C$310</f>
              <numCache>
                <formatCode>General</formatCode>
                <ptCount val="254"/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436293072"/>
        <axId val="1"/>
      </scatterChart>
      <valAx>
        <axId val="436293072"/>
        <scaling>
          <orientation val="minMax"/>
          <max val="11.9409963883294"/>
          <min val="8.610619439019098e-06"/>
        </scaling>
        <delete val="0"/>
        <axPos val="b"/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US"/>
                  <a:t>Frequency MHz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662014967723629"/>
              <y val="0.8944094488188976"/>
            </manualLayout>
          </layout>
          <overlay val="0"/>
        </title>
        <numFmt formatCode="0.00" sourceLinked="0"/>
        <majorTickMark val="out"/>
        <minorTickMark val="none"/>
        <tickLblPos val="nextTo"/>
        <txPr>
          <a:bodyPr rot="270000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t/>
            </a:r>
            <a:endParaRPr lang="en-US"/>
          </a:p>
        </txPr>
        <crossAx val="1"/>
        <crossesAt val="-11.34200000000001"/>
        <crossBetween val="midCat"/>
        <majorUnit val="1.194098777770996"/>
        <minorUnit val="1.194098777770996"/>
      </valAx>
      <valAx>
        <axId val="1"/>
        <scaling>
          <orientation val="minMax"/>
          <max val="4.231442786069652"/>
          <min val="-3.768557213930352"/>
        </scaling>
        <delete val="0"/>
        <axPos val="l"/>
        <majorGridlines/>
        <title>
          <tx>
            <rich>
              <a:bodyPr/>
              <a:lstStyle/>
              <a:p>
                <a:pPr>
                  <a:defRPr/>
                </a:pPr>
                <a:r>
                  <a:rPr lang="en-US"/>
                  <a:t>dBm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564091650705824"/>
              <y val="0.3927498906386702"/>
            </manualLayout>
          </layout>
          <overlay val="0"/>
        </title>
        <numFmt formatCode="0.00" sourceLinked="0"/>
        <majorTickMark val="out"/>
        <minorTickMark val="none"/>
        <tickLblPos val="nextTo"/>
        <txPr>
          <a:bodyPr rot="0" vert="horz"/>
          <a:lstStyle/>
          <a:p>
            <a:pPr>
              <a:defRPr/>
            </a:pPr>
            <a:r>
              <a:t/>
            </a:r>
            <a:endParaRPr lang="en-US"/>
          </a:p>
        </txPr>
        <crossAx val="436293072"/>
        <crossesAt val="0"/>
        <crossBetween val="midCat"/>
        <majorUnit val="2"/>
        <minorUnit val="2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Return</a:t>
            </a:r>
            <a:r>
              <a:rPr lang="en-US" baseline="0"/>
              <a:t xml:space="preserve"> Loss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165675320990282"/>
          <y val="0.02031724295332649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2085561497326203"/>
          <y val="0.1398603786405612"/>
          <w val="0.6764705882352942"/>
          <h val="0.5734275524263009"/>
        </manualLayout>
      </layout>
      <scatterChart>
        <scatterStyle val="lineMarker"/>
        <varyColors val="0"/>
        <ser>
          <idx val="8"/>
          <order val="0"/>
          <tx>
            <strRef>
              <f>'UUT 2'!$E$56</f>
              <strCache>
                <ptCount val="1"/>
              </strCache>
            </strRef>
          </tx>
          <spPr>
            <a:ln w="12700">
              <a:solidFill>
                <a:srgbClr val="00008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2'!$D$57:$D$465</f>
              <numCache>
                <formatCode>General</formatCode>
                <ptCount val="409"/>
              </numCache>
            </numRef>
          </xVal>
          <yVal>
            <numRef>
              <f>'UUT 2'!$E$57:$E$465</f>
              <numCache>
                <formatCode>General</formatCode>
                <ptCount val="409"/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350563240"/>
        <axId val="1"/>
      </scatterChart>
      <valAx>
        <axId val="350563240"/>
        <scaling>
          <orientation val="minMax"/>
          <max val="11.9409963883294"/>
          <min val="8.610619439019098e-06"/>
        </scaling>
        <delete val="0"/>
        <axPos val="b"/>
        <minorGridlines>
          <spPr>
            <a:ln w="3175">
              <a:solidFill>
                <a:srgbClr val="00000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MHz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662014967723629"/>
              <y val="0.894927536231884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270000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"/>
        <crossesAt val="-11.34200000000001"/>
        <crossBetween val="midCat"/>
        <majorUnit val="1.194098777770996"/>
        <minorUnit val="1.194098777770996"/>
      </valAx>
      <valAx>
        <axId val="1"/>
        <scaling>
          <orientation val="minMax"/>
          <max val="4.231442786069652"/>
          <min val="-3.768557213930352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dBm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564091650705824"/>
              <y val="0.392750199703298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350563240"/>
        <crossesAt val="0"/>
        <crossBetween val="midCat"/>
        <majorUnit val="2"/>
        <minorUnit val="2"/>
      </valAx>
    </plotArea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Isolation</a:t>
            </a:r>
          </a:p>
        </rich>
      </tx>
      <layout>
        <manualLayout>
          <xMode val="edge"/>
          <yMode val="edge"/>
          <wMode val="factor"/>
          <hMode val="factor"/>
          <x val="0.432333297864794"/>
          <y val="0.03480953769667681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2085561497326203"/>
          <y val="0.1398603786405612"/>
          <w val="0.6764705882352942"/>
          <h val="0.5734275524263009"/>
        </manualLayout>
      </layout>
      <scatterChart>
        <scatterStyle val="lineMarker"/>
        <varyColors val="0"/>
        <ser>
          <idx val="4"/>
          <order val="0"/>
          <tx>
            <strRef>
              <f>'UUT 2'!$G$56</f>
              <strCache>
                <ptCount val="1"/>
              </strCache>
            </strRef>
          </tx>
          <spPr>
            <a:ln w="12700">
              <a:solidFill>
                <a:srgbClr val="00008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2'!$F$57:$F$310</f>
              <numCache>
                <formatCode>General</formatCode>
                <ptCount val="254"/>
              </numCache>
            </numRef>
          </xVal>
          <yVal>
            <numRef>
              <f>'UUT 2'!$G$57:$G$310</f>
              <numCache>
                <formatCode>General</formatCode>
                <ptCount val="254"/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350557992"/>
        <axId val="1"/>
      </scatterChart>
      <valAx>
        <axId val="350557992"/>
        <scaling>
          <orientation val="minMax"/>
          <max val="11.9409963883294"/>
          <min val="8.610619439019098e-06"/>
        </scaling>
        <delete val="0"/>
        <axPos val="b"/>
        <minorGridlines>
          <spPr>
            <a:ln w="3175">
              <a:solidFill>
                <a:srgbClr val="00000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MHz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662013194296659"/>
              <y val="0.8977072310405644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270000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"/>
        <crossesAt val="-11.34200000000001"/>
        <crossBetween val="midCat"/>
        <majorUnit val="1.194098777770996"/>
        <minorUnit val="1.194098777770996"/>
      </valAx>
      <valAx>
        <axId val="1"/>
        <scaling>
          <orientation val="minMax"/>
          <max val="4.231442786069652"/>
          <min val="-3.768557213930352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dBm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564091650705824"/>
              <y val="0.3927503506506131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350557992"/>
        <crossesAt val="0"/>
        <crossBetween val="midCat"/>
        <majorUnit val="2"/>
        <minorUnit val="2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Phase Balance</a:t>
            </a:r>
          </a:p>
        </rich>
      </tx>
      <layout>
        <manualLayout>
          <xMode val="edge"/>
          <yMode val="edge"/>
          <wMode val="factor"/>
          <hMode val="factor"/>
          <x val="0.3827837483152444"/>
          <y val="0.03480987953428898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2085561497326203"/>
          <y val="0.1398603786405612"/>
          <w val="0.6764705882352942"/>
          <h val="0.5734275524263009"/>
        </manualLayout>
      </layout>
      <scatterChart>
        <scatterStyle val="lineMarker"/>
        <varyColors val="0"/>
        <ser>
          <idx val="0"/>
          <order val="0"/>
          <tx>
            <strRef>
              <f>'UUT 2'!$I$56</f>
              <strCache>
                <ptCount val="1"/>
              </strCache>
            </strRef>
          </tx>
          <spPr>
            <a:ln w="12700">
              <a:solidFill>
                <a:srgbClr val="00008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2'!$H$57:$H$308</f>
              <numCache>
                <formatCode>General</formatCode>
                <ptCount val="252"/>
              </numCache>
            </numRef>
          </xVal>
          <yVal>
            <numRef>
              <f>'UUT 2'!$I$57:$I$308</f>
              <numCache>
                <formatCode>General</formatCode>
                <ptCount val="252"/>
              </numCache>
            </numRef>
          </yVal>
          <smooth val="0"/>
        </ser>
        <ser>
          <idx val="1"/>
          <order val="1"/>
          <tx>
            <strRef>
              <f>'UUT 2'!$J$56</f>
              <strCache>
                <ptCount val="1"/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2'!$H$57:$H$308</f>
              <numCache>
                <formatCode>General</formatCode>
                <ptCount val="252"/>
              </numCache>
            </numRef>
          </xVal>
          <yVal>
            <numRef>
              <f>'UUT 2'!$J$57:$J$308</f>
              <numCache>
                <formatCode>General</formatCode>
                <ptCount val="252"/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350558648"/>
        <axId val="1"/>
      </scatterChart>
      <valAx>
        <axId val="350558648"/>
        <scaling>
          <orientation val="minMax"/>
          <max val="11.9409963883294"/>
          <min val="8.610619439019098e-06"/>
        </scaling>
        <delete val="0"/>
        <axPos val="b"/>
        <minorGridlines>
          <spPr>
            <a:ln w="3175">
              <a:solidFill>
                <a:srgbClr val="00000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MHz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662014967723629"/>
              <y val="0.900303385153778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270000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"/>
        <crossesAt val="-11.34200000000001"/>
        <crossBetween val="midCat"/>
        <majorUnit val="1.194098777770996"/>
        <minorUnit val="1.194098777770996"/>
      </valAx>
      <valAx>
        <axId val="1"/>
        <scaling>
          <orientation val="minMax"/>
          <max val="4.231442786069652"/>
          <min val="-3.768557213930352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dBm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564091650705824"/>
              <y val="0.39274998317518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350558648"/>
        <crossesAt val="0"/>
        <crossBetween val="midCat"/>
        <majorUnit val="2"/>
        <minorUnit val="2"/>
      </valAx>
    </plotArea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/>
            </a:pPr>
            <a:r>
              <a:rPr lang="en-US"/>
              <a:t>Insertion Loss</a:t>
            </a:r>
          </a:p>
        </rich>
      </tx>
      <layout>
        <manualLayout>
          <xMode val="edge"/>
          <yMode val="edge"/>
          <wMode val="factor"/>
          <hMode val="factor"/>
          <x val="0.3514598850819323"/>
          <y val="0.007459536307961505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2130605802653047"/>
          <y val="0.1398603782774576"/>
          <w val="0.6764705882352942"/>
          <h val="0.5734275524263009"/>
        </manualLayout>
      </layout>
      <scatterChart>
        <scatterStyle val="lineMarker"/>
        <varyColors val="0"/>
        <ser>
          <idx val="2"/>
          <order val="0"/>
          <tx>
            <strRef>
              <f>'UUT 3'!$B$56</f>
              <strCache>
                <ptCount val="1"/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3'!$A$57:$A$310</f>
              <numCache>
                <formatCode>General</formatCode>
                <ptCount val="254"/>
              </numCache>
            </numRef>
          </xVal>
          <yVal>
            <numRef>
              <f>'UUT 3'!$B$57:$B$310</f>
              <numCache>
                <formatCode>General</formatCode>
                <ptCount val="254"/>
              </numCache>
            </numRef>
          </yVal>
          <smooth val="0"/>
        </ser>
        <ser>
          <idx val="3"/>
          <order val="1"/>
          <tx>
            <strRef>
              <f>'UUT 3'!$C$56</f>
              <strCache>
                <ptCount val="1"/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3'!$A$57:$A$310</f>
              <numCache>
                <formatCode>General</formatCode>
                <ptCount val="254"/>
              </numCache>
            </numRef>
          </xVal>
          <yVal>
            <numRef>
              <f>'UUT 3'!$C$57:$C$310</f>
              <numCache>
                <formatCode>General</formatCode>
                <ptCount val="254"/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350561600"/>
        <axId val="1"/>
      </scatterChart>
      <valAx>
        <axId val="350561600"/>
        <scaling>
          <orientation val="minMax"/>
          <max val="11.9409963883294"/>
          <min val="8.610619439019098e-06"/>
        </scaling>
        <delete val="0"/>
        <axPos val="b"/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US"/>
                  <a:t>Frequency MHz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662014967723629"/>
              <y val="0.8944094488188976"/>
            </manualLayout>
          </layout>
          <overlay val="0"/>
        </title>
        <numFmt formatCode="0.00" sourceLinked="0"/>
        <majorTickMark val="out"/>
        <minorTickMark val="none"/>
        <tickLblPos val="nextTo"/>
        <txPr>
          <a:bodyPr rot="270000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t/>
            </a:r>
            <a:endParaRPr lang="en-US"/>
          </a:p>
        </txPr>
        <crossAx val="1"/>
        <crossesAt val="-11.34200000000001"/>
        <crossBetween val="midCat"/>
        <majorUnit val="1.194098777770996"/>
        <minorUnit val="1.194098777770996"/>
      </valAx>
      <valAx>
        <axId val="1"/>
        <scaling>
          <orientation val="minMax"/>
          <max val="4.231442786069652"/>
          <min val="-3.768557213930352"/>
        </scaling>
        <delete val="0"/>
        <axPos val="l"/>
        <majorGridlines/>
        <title>
          <tx>
            <rich>
              <a:bodyPr/>
              <a:lstStyle/>
              <a:p>
                <a:pPr>
                  <a:defRPr/>
                </a:pPr>
                <a:r>
                  <a:rPr lang="en-US"/>
                  <a:t>dBm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564091650705824"/>
              <y val="0.3927498906386702"/>
            </manualLayout>
          </layout>
          <overlay val="0"/>
        </title>
        <numFmt formatCode="0.00" sourceLinked="0"/>
        <majorTickMark val="out"/>
        <minorTickMark val="none"/>
        <tickLblPos val="nextTo"/>
        <txPr>
          <a:bodyPr rot="0" vert="horz"/>
          <a:lstStyle/>
          <a:p>
            <a:pPr>
              <a:defRPr/>
            </a:pPr>
            <a:r>
              <a:t/>
            </a:r>
            <a:endParaRPr lang="en-US"/>
          </a:p>
        </txPr>
        <crossAx val="350561600"/>
        <crossesAt val="0"/>
        <crossBetween val="midCat"/>
        <majorUnit val="2"/>
        <minorUnit val="2"/>
      </valAx>
    </plotArea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Return</a:t>
            </a:r>
            <a:r>
              <a:rPr lang="en-US" baseline="0"/>
              <a:t xml:space="preserve"> Loss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165675320990282"/>
          <y val="0.02031724295332649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2085561497326203"/>
          <y val="0.1398603786405612"/>
          <w val="0.6764705882352942"/>
          <h val="0.5734275524263009"/>
        </manualLayout>
      </layout>
      <scatterChart>
        <scatterStyle val="lineMarker"/>
        <varyColors val="0"/>
        <ser>
          <idx val="8"/>
          <order val="0"/>
          <tx>
            <strRef>
              <f>'UUT 3'!$E$56</f>
              <strCache>
                <ptCount val="1"/>
              </strCache>
            </strRef>
          </tx>
          <spPr>
            <a:ln w="12700">
              <a:solidFill>
                <a:srgbClr val="00008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3'!$D$57:$D$465</f>
              <numCache>
                <formatCode>General</formatCode>
                <ptCount val="409"/>
              </numCache>
            </numRef>
          </xVal>
          <yVal>
            <numRef>
              <f>'UUT 3'!$E$57:$E$465</f>
              <numCache>
                <formatCode>General</formatCode>
                <ptCount val="409"/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436993952"/>
        <axId val="1"/>
      </scatterChart>
      <valAx>
        <axId val="436993952"/>
        <scaling>
          <orientation val="minMax"/>
          <max val="11.9409963883294"/>
          <min val="8.610619439019098e-06"/>
        </scaling>
        <delete val="0"/>
        <axPos val="b"/>
        <minorGridlines>
          <spPr>
            <a:ln w="3175">
              <a:solidFill>
                <a:srgbClr val="00000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MHz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662014967723629"/>
              <y val="0.894927536231884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270000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"/>
        <crossesAt val="-11.34200000000001"/>
        <crossBetween val="midCat"/>
        <majorUnit val="1.194098777770996"/>
        <minorUnit val="1.194098777770996"/>
      </valAx>
      <valAx>
        <axId val="1"/>
        <scaling>
          <orientation val="minMax"/>
          <max val="4.231442786069652"/>
          <min val="-3.768557213930352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dBm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564091650705824"/>
              <y val="0.392750199703298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436993952"/>
        <crossesAt val="0"/>
        <crossBetween val="midCat"/>
        <majorUnit val="2"/>
        <minorUnit val="2"/>
      </valAx>
    </plotArea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Isolation</a:t>
            </a:r>
          </a:p>
        </rich>
      </tx>
      <layout>
        <manualLayout>
          <xMode val="edge"/>
          <yMode val="edge"/>
          <wMode val="factor"/>
          <hMode val="factor"/>
          <x val="0.432333297864794"/>
          <y val="0.03480953769667681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2085561497326203"/>
          <y val="0.1398603786405612"/>
          <w val="0.6764705882352942"/>
          <h val="0.5734275524263009"/>
        </manualLayout>
      </layout>
      <scatterChart>
        <scatterStyle val="lineMarker"/>
        <varyColors val="0"/>
        <ser>
          <idx val="4"/>
          <order val="0"/>
          <tx>
            <strRef>
              <f>'UUT 3'!$G$56</f>
              <strCache>
                <ptCount val="1"/>
              </strCache>
            </strRef>
          </tx>
          <spPr>
            <a:ln w="12700">
              <a:solidFill>
                <a:srgbClr val="00008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3'!$F$57:$F$310</f>
              <numCache>
                <formatCode>General</formatCode>
                <ptCount val="254"/>
              </numCache>
            </numRef>
          </xVal>
          <yVal>
            <numRef>
              <f>'UUT 3'!$G$57:$G$310</f>
              <numCache>
                <formatCode>General</formatCode>
                <ptCount val="254"/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437002152"/>
        <axId val="1"/>
      </scatterChart>
      <valAx>
        <axId val="437002152"/>
        <scaling>
          <orientation val="minMax"/>
          <max val="11.9409963883294"/>
          <min val="8.610619439019098e-06"/>
        </scaling>
        <delete val="0"/>
        <axPos val="b"/>
        <minorGridlines>
          <spPr>
            <a:ln w="3175">
              <a:solidFill>
                <a:srgbClr val="00000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MHz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662013194296659"/>
              <y val="0.8977072310405644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270000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"/>
        <crossesAt val="-11.34200000000001"/>
        <crossBetween val="midCat"/>
        <majorUnit val="1.194098777770996"/>
        <minorUnit val="1.194098777770996"/>
      </valAx>
      <valAx>
        <axId val="1"/>
        <scaling>
          <orientation val="minMax"/>
          <max val="4.231442786069652"/>
          <min val="-3.768557213930352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dBm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564091650705824"/>
              <y val="0.3927503506506131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437002152"/>
        <crossesAt val="0"/>
        <crossBetween val="midCat"/>
        <majorUnit val="2"/>
        <minorUnit val="2"/>
      </valAx>
    </plotArea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Phase Balance</a:t>
            </a:r>
          </a:p>
        </rich>
      </tx>
      <layout>
        <manualLayout>
          <xMode val="edge"/>
          <yMode val="edge"/>
          <wMode val="factor"/>
          <hMode val="factor"/>
          <x val="0.3827837483152444"/>
          <y val="0.03480987953428898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2085561497326203"/>
          <y val="0.1398603786405612"/>
          <w val="0.6764705882352942"/>
          <h val="0.5734275524263009"/>
        </manualLayout>
      </layout>
      <scatterChart>
        <scatterStyle val="lineMarker"/>
        <varyColors val="0"/>
        <ser>
          <idx val="0"/>
          <order val="0"/>
          <tx>
            <strRef>
              <f>'UUT 3'!$I$56</f>
              <strCache>
                <ptCount val="1"/>
              </strCache>
            </strRef>
          </tx>
          <spPr>
            <a:ln w="12700">
              <a:solidFill>
                <a:srgbClr val="00008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3'!$H$57:$H$308</f>
              <numCache>
                <formatCode>General</formatCode>
                <ptCount val="252"/>
              </numCache>
            </numRef>
          </xVal>
          <yVal>
            <numRef>
              <f>'UUT 3'!$I$57:$I$308</f>
              <numCache>
                <formatCode>General</formatCode>
                <ptCount val="252"/>
              </numCache>
            </numRef>
          </yVal>
          <smooth val="0"/>
        </ser>
        <ser>
          <idx val="1"/>
          <order val="1"/>
          <tx>
            <strRef>
              <f>'UUT 3'!$J$56</f>
              <strCache>
                <ptCount val="1"/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3'!$H$57:$H$308</f>
              <numCache>
                <formatCode>General</formatCode>
                <ptCount val="252"/>
              </numCache>
            </numRef>
          </xVal>
          <yVal>
            <numRef>
              <f>'UUT 3'!$J$57:$J$308</f>
              <numCache>
                <formatCode>General</formatCode>
                <ptCount val="252"/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437002480"/>
        <axId val="1"/>
      </scatterChart>
      <valAx>
        <axId val="437002480"/>
        <scaling>
          <orientation val="minMax"/>
          <max val="11.9409963883294"/>
          <min val="8.610619439019098e-06"/>
        </scaling>
        <delete val="0"/>
        <axPos val="b"/>
        <minorGridlines>
          <spPr>
            <a:ln w="3175">
              <a:solidFill>
                <a:srgbClr val="00000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MHz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662014967723629"/>
              <y val="0.900303385153778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270000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"/>
        <crossesAt val="-11.34200000000001"/>
        <crossBetween val="midCat"/>
        <majorUnit val="1.194098777770996"/>
        <minorUnit val="1.194098777770996"/>
      </valAx>
      <valAx>
        <axId val="1"/>
        <scaling>
          <orientation val="minMax"/>
          <max val="4.231442786069652"/>
          <min val="-3.768557213930352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dBm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564091650705824"/>
              <y val="0.39274998317518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437002480"/>
        <crossesAt val="0"/>
        <crossBetween val="midCat"/>
        <majorUnit val="2"/>
        <minorUnit val="2"/>
      </valAx>
    </plotArea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/>
            </a:pPr>
            <a:r>
              <a:rPr lang="en-US"/>
              <a:t>Insertion Loss</a:t>
            </a:r>
          </a:p>
        </rich>
      </tx>
      <layout>
        <manualLayout>
          <xMode val="edge"/>
          <yMode val="edge"/>
          <wMode val="factor"/>
          <hMode val="factor"/>
          <x val="0.3514598850819323"/>
          <y val="0.007459536307961505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2130605802653047"/>
          <y val="0.1398603782774576"/>
          <w val="0.6764705882352942"/>
          <h val="0.5734275524263009"/>
        </manualLayout>
      </layout>
      <scatterChart>
        <scatterStyle val="lineMarker"/>
        <varyColors val="0"/>
        <ser>
          <idx val="2"/>
          <order val="0"/>
          <tx>
            <strRef>
              <f>'UUT 4'!$B$56</f>
              <strCache>
                <ptCount val="1"/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4'!$A$57:$A$310</f>
              <numCache>
                <formatCode>General</formatCode>
                <ptCount val="254"/>
              </numCache>
            </numRef>
          </xVal>
          <yVal>
            <numRef>
              <f>'UUT 4'!$B$57:$B$310</f>
              <numCache>
                <formatCode>General</formatCode>
                <ptCount val="254"/>
              </numCache>
            </numRef>
          </yVal>
          <smooth val="0"/>
        </ser>
        <ser>
          <idx val="3"/>
          <order val="1"/>
          <tx>
            <strRef>
              <f>'UUT 4'!$C$56</f>
              <strCache>
                <ptCount val="1"/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4'!$A$57:$A$310</f>
              <numCache>
                <formatCode>General</formatCode>
                <ptCount val="254"/>
              </numCache>
            </numRef>
          </xVal>
          <yVal>
            <numRef>
              <f>'UUT 4'!$C$57:$C$310</f>
              <numCache>
                <formatCode>General</formatCode>
                <ptCount val="254"/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437002808"/>
        <axId val="1"/>
      </scatterChart>
      <valAx>
        <axId val="437002808"/>
        <scaling>
          <orientation val="minMax"/>
          <max val="11.9409963883294"/>
          <min val="8.610619439019098e-06"/>
        </scaling>
        <delete val="0"/>
        <axPos val="b"/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US"/>
                  <a:t>Frequency MHz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662014967723629"/>
              <y val="0.8944094488188976"/>
            </manualLayout>
          </layout>
          <overlay val="0"/>
        </title>
        <numFmt formatCode="0.00" sourceLinked="0"/>
        <majorTickMark val="out"/>
        <minorTickMark val="none"/>
        <tickLblPos val="nextTo"/>
        <txPr>
          <a:bodyPr rot="270000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t/>
            </a:r>
            <a:endParaRPr lang="en-US"/>
          </a:p>
        </txPr>
        <crossAx val="1"/>
        <crossesAt val="-11.34200000000001"/>
        <crossBetween val="midCat"/>
        <majorUnit val="1.194098777770996"/>
        <minorUnit val="1.194098777770996"/>
      </valAx>
      <valAx>
        <axId val="1"/>
        <scaling>
          <orientation val="minMax"/>
          <max val="4.231442786069652"/>
          <min val="-3.768557213930352"/>
        </scaling>
        <delete val="0"/>
        <axPos val="l"/>
        <majorGridlines/>
        <title>
          <tx>
            <rich>
              <a:bodyPr/>
              <a:lstStyle/>
              <a:p>
                <a:pPr>
                  <a:defRPr/>
                </a:pPr>
                <a:r>
                  <a:rPr lang="en-US"/>
                  <a:t>dBm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564091650705824"/>
              <y val="0.3927498906386702"/>
            </manualLayout>
          </layout>
          <overlay val="0"/>
        </title>
        <numFmt formatCode="0.00" sourceLinked="0"/>
        <majorTickMark val="out"/>
        <minorTickMark val="none"/>
        <tickLblPos val="nextTo"/>
        <txPr>
          <a:bodyPr rot="0" vert="horz"/>
          <a:lstStyle/>
          <a:p>
            <a:pPr>
              <a:defRPr/>
            </a:pPr>
            <a:r>
              <a:t/>
            </a:r>
            <a:endParaRPr lang="en-US"/>
          </a:p>
        </txPr>
        <crossAx val="437002808"/>
        <crossesAt val="0"/>
        <crossBetween val="midCat"/>
        <majorUnit val="2"/>
        <minorUnit val="2"/>
      </valAx>
    </plotArea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Return</a:t>
            </a:r>
            <a:r>
              <a:rPr lang="en-US" baseline="0"/>
              <a:t xml:space="preserve"> Loss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165675320990282"/>
          <y val="0.02031724295332649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2085561497326203"/>
          <y val="0.1398603786405612"/>
          <w val="0.6764705882352942"/>
          <h val="0.5734275524263009"/>
        </manualLayout>
      </layout>
      <scatterChart>
        <scatterStyle val="lineMarker"/>
        <varyColors val="0"/>
        <ser>
          <idx val="8"/>
          <order val="0"/>
          <tx>
            <strRef>
              <f>'UUT 4'!$E$56</f>
              <strCache>
                <ptCount val="1"/>
              </strCache>
            </strRef>
          </tx>
          <spPr>
            <a:ln w="12700">
              <a:solidFill>
                <a:srgbClr val="00008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4'!$D$57:$D$465</f>
              <numCache>
                <formatCode>General</formatCode>
                <ptCount val="409"/>
              </numCache>
            </numRef>
          </xVal>
          <yVal>
            <numRef>
              <f>'UUT 4'!$E$57:$E$465</f>
              <numCache>
                <formatCode>General</formatCode>
                <ptCount val="409"/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436998872"/>
        <axId val="1"/>
      </scatterChart>
      <valAx>
        <axId val="436998872"/>
        <scaling>
          <orientation val="minMax"/>
          <max val="11.9409963883294"/>
          <min val="8.610619439019098e-06"/>
        </scaling>
        <delete val="0"/>
        <axPos val="b"/>
        <minorGridlines>
          <spPr>
            <a:ln w="3175">
              <a:solidFill>
                <a:srgbClr val="00000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MHz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662014967723629"/>
              <y val="0.894927536231884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270000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"/>
        <crossesAt val="-11.34200000000001"/>
        <crossBetween val="midCat"/>
        <majorUnit val="1.194098777770996"/>
        <minorUnit val="1.194098777770996"/>
      </valAx>
      <valAx>
        <axId val="1"/>
        <scaling>
          <orientation val="minMax"/>
          <max val="4.231442786069652"/>
          <min val="-3.768557213930352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dBm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564091650705824"/>
              <y val="0.392750199703298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436998872"/>
        <crossesAt val="0"/>
        <crossBetween val="midCat"/>
        <majorUnit val="2"/>
        <minorUnit val="2"/>
      </valAx>
    </plotArea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Isolation</a:t>
            </a:r>
          </a:p>
        </rich>
      </tx>
      <layout>
        <manualLayout>
          <xMode val="edge"/>
          <yMode val="edge"/>
          <wMode val="factor"/>
          <hMode val="factor"/>
          <x val="0.432333297864794"/>
          <y val="0.03480953769667681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2085561497326203"/>
          <y val="0.1398603786405612"/>
          <w val="0.6764705882352942"/>
          <h val="0.5734275524263009"/>
        </manualLayout>
      </layout>
      <scatterChart>
        <scatterStyle val="lineMarker"/>
        <varyColors val="0"/>
        <ser>
          <idx val="4"/>
          <order val="0"/>
          <tx>
            <strRef>
              <f>'UUT 4'!$G$56</f>
              <strCache>
                <ptCount val="1"/>
              </strCache>
            </strRef>
          </tx>
          <spPr>
            <a:ln w="12700">
              <a:solidFill>
                <a:srgbClr val="00008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4'!$F$57:$F$310</f>
              <numCache>
                <formatCode>General</formatCode>
                <ptCount val="254"/>
              </numCache>
            </numRef>
          </xVal>
          <yVal>
            <numRef>
              <f>'UUT 4'!$G$57:$G$310</f>
              <numCache>
                <formatCode>General</formatCode>
                <ptCount val="254"/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436995592"/>
        <axId val="1"/>
      </scatterChart>
      <valAx>
        <axId val="436995592"/>
        <scaling>
          <orientation val="minMax"/>
          <max val="11.9409963883294"/>
          <min val="8.610619439019098e-06"/>
        </scaling>
        <delete val="0"/>
        <axPos val="b"/>
        <minorGridlines>
          <spPr>
            <a:ln w="3175">
              <a:solidFill>
                <a:srgbClr val="00000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MHz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662013194296659"/>
              <y val="0.8977072310405644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270000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"/>
        <crossesAt val="-11.34200000000001"/>
        <crossBetween val="midCat"/>
        <majorUnit val="1.194098777770996"/>
        <minorUnit val="1.194098777770996"/>
      </valAx>
      <valAx>
        <axId val="1"/>
        <scaling>
          <orientation val="minMax"/>
          <max val="4.231442786069652"/>
          <min val="-3.768557213930352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dBm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564091650705824"/>
              <y val="0.3927503506506131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436995592"/>
        <crossesAt val="0"/>
        <crossBetween val="midCat"/>
        <majorUnit val="2"/>
        <minorUnit val="2"/>
      </valAx>
    </plotArea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Phase Balance</a:t>
            </a:r>
          </a:p>
        </rich>
      </tx>
      <layout>
        <manualLayout>
          <xMode val="edge"/>
          <yMode val="edge"/>
          <wMode val="factor"/>
          <hMode val="factor"/>
          <x val="0.3827837483152444"/>
          <y val="0.03480987953428898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2085561497326203"/>
          <y val="0.1398603786405612"/>
          <w val="0.6764705882352942"/>
          <h val="0.5734275524263009"/>
        </manualLayout>
      </layout>
      <scatterChart>
        <scatterStyle val="lineMarker"/>
        <varyColors val="0"/>
        <ser>
          <idx val="0"/>
          <order val="0"/>
          <tx>
            <strRef>
              <f>'UUT 4'!$I$56</f>
              <strCache>
                <ptCount val="1"/>
              </strCache>
            </strRef>
          </tx>
          <spPr>
            <a:ln w="12700">
              <a:solidFill>
                <a:srgbClr val="00008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4'!$H$57:$H$308</f>
              <numCache>
                <formatCode>General</formatCode>
                <ptCount val="252"/>
              </numCache>
            </numRef>
          </xVal>
          <yVal>
            <numRef>
              <f>'UUT 4'!$I$57:$I$308</f>
              <numCache>
                <formatCode>General</formatCode>
                <ptCount val="252"/>
              </numCache>
            </numRef>
          </yVal>
          <smooth val="0"/>
        </ser>
        <ser>
          <idx val="1"/>
          <order val="1"/>
          <tx>
            <strRef>
              <f>'UUT 4'!$J$56</f>
              <strCache>
                <ptCount val="1"/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4'!$H$57:$H$308</f>
              <numCache>
                <formatCode>General</formatCode>
                <ptCount val="252"/>
              </numCache>
            </numRef>
          </xVal>
          <yVal>
            <numRef>
              <f>'UUT 4'!$J$57:$J$308</f>
              <numCache>
                <formatCode>General</formatCode>
                <ptCount val="252"/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436996248"/>
        <axId val="1"/>
      </scatterChart>
      <valAx>
        <axId val="436996248"/>
        <scaling>
          <orientation val="minMax"/>
          <max val="11.9409963883294"/>
          <min val="8.610619439019098e-06"/>
        </scaling>
        <delete val="0"/>
        <axPos val="b"/>
        <minorGridlines>
          <spPr>
            <a:ln w="3175">
              <a:solidFill>
                <a:srgbClr val="00000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MHz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662014967723629"/>
              <y val="0.900303385153778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270000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"/>
        <crossesAt val="-11.34200000000001"/>
        <crossBetween val="midCat"/>
        <majorUnit val="1.194098777770996"/>
        <minorUnit val="1.194098777770996"/>
      </valAx>
      <valAx>
        <axId val="1"/>
        <scaling>
          <orientation val="minMax"/>
          <max val="4.231442786069652"/>
          <min val="-3.768557213930352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dBm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564091650705824"/>
              <y val="0.39274998317518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436996248"/>
        <crossesAt val="0"/>
        <crossBetween val="midCat"/>
        <majorUnit val="2"/>
        <minorUnit val="2"/>
      </valAx>
    </plotArea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/>
            </a:pPr>
            <a:r>
              <a:rPr lang="en-US"/>
              <a:t>Insertion Loss</a:t>
            </a:r>
          </a:p>
        </rich>
      </tx>
      <layout>
        <manualLayout>
          <xMode val="edge"/>
          <yMode val="edge"/>
          <wMode val="factor"/>
          <hMode val="factor"/>
          <x val="0.3447031283251756"/>
          <y val="0.0005150918635170603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2130605802653047"/>
          <y val="0.1398603782774576"/>
          <w val="0.6764705882352942"/>
          <h val="0.5734275524263009"/>
        </manualLayout>
      </layout>
      <scatterChart>
        <scatterStyle val="lineMarker"/>
        <varyColors val="0"/>
        <ser>
          <idx val="2"/>
          <order val="0"/>
          <tx>
            <strRef>
              <f>'UUT 5'!$B$56</f>
              <strCache>
                <ptCount val="1"/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5'!$A$57:$A$310</f>
              <numCache>
                <formatCode>General</formatCode>
                <ptCount val="254"/>
              </numCache>
            </numRef>
          </xVal>
          <yVal>
            <numRef>
              <f>'UUT 5'!$B$57:$B$310</f>
              <numCache>
                <formatCode>General</formatCode>
                <ptCount val="254"/>
              </numCache>
            </numRef>
          </yVal>
          <smooth val="0"/>
        </ser>
        <ser>
          <idx val="3"/>
          <order val="1"/>
          <tx>
            <strRef>
              <f>'UUT 5'!$C$56</f>
              <strCache>
                <ptCount val="1"/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5'!$A$57:$A$310</f>
              <numCache>
                <formatCode>General</formatCode>
                <ptCount val="254"/>
              </numCache>
            </numRef>
          </xVal>
          <yVal>
            <numRef>
              <f>'UUT 5'!$C$57:$C$310</f>
              <numCache>
                <formatCode>General</formatCode>
                <ptCount val="254"/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437008056"/>
        <axId val="1"/>
      </scatterChart>
      <valAx>
        <axId val="437008056"/>
        <scaling>
          <orientation val="minMax"/>
          <max val="11.9409963883294"/>
          <min val="8.610619439019098e-06"/>
        </scaling>
        <delete val="0"/>
        <axPos val="b"/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US"/>
                  <a:t>Frequency MHz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662014967723629"/>
              <y val="0.8944094488188976"/>
            </manualLayout>
          </layout>
          <overlay val="0"/>
        </title>
        <numFmt formatCode="0.00" sourceLinked="0"/>
        <majorTickMark val="out"/>
        <minorTickMark val="none"/>
        <tickLblPos val="nextTo"/>
        <txPr>
          <a:bodyPr rot="270000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t/>
            </a:r>
            <a:endParaRPr lang="en-US"/>
          </a:p>
        </txPr>
        <crossAx val="1"/>
        <crossesAt val="-11.34200000000001"/>
        <crossBetween val="midCat"/>
        <majorUnit val="1.194098777770996"/>
        <minorUnit val="1.194098777770996"/>
      </valAx>
      <valAx>
        <axId val="1"/>
        <scaling>
          <orientation val="minMax"/>
          <max val="4.231442786069652"/>
          <min val="-3.768557213930352"/>
        </scaling>
        <delete val="0"/>
        <axPos val="l"/>
        <majorGridlines/>
        <title>
          <tx>
            <rich>
              <a:bodyPr/>
              <a:lstStyle/>
              <a:p>
                <a:pPr>
                  <a:defRPr/>
                </a:pPr>
                <a:r>
                  <a:rPr lang="en-US"/>
                  <a:t>dBm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564091650705824"/>
              <y val="0.3927498906386702"/>
            </manualLayout>
          </layout>
          <overlay val="0"/>
        </title>
        <numFmt formatCode="0.00" sourceLinked="0"/>
        <majorTickMark val="out"/>
        <minorTickMark val="none"/>
        <tickLblPos val="nextTo"/>
        <txPr>
          <a:bodyPr rot="0" vert="horz"/>
          <a:lstStyle/>
          <a:p>
            <a:pPr>
              <a:defRPr/>
            </a:pPr>
            <a:r>
              <a:t/>
            </a:r>
            <a:endParaRPr lang="en-US"/>
          </a:p>
        </txPr>
        <crossAx val="437008056"/>
        <crossesAt val="0"/>
        <crossBetween val="midCat"/>
        <majorUnit val="2"/>
        <minorUnit val="2"/>
      </valAx>
    </plotArea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Return</a:t>
            </a:r>
            <a:r>
              <a:rPr lang="en-US" baseline="0"/>
              <a:t xml:space="preserve"> Loss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165675320990282"/>
          <y val="0.02031724295332649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2085561497326203"/>
          <y val="0.1398603786405612"/>
          <w val="0.6764705882352942"/>
          <h val="0.5734275524263009"/>
        </manualLayout>
      </layout>
      <scatterChart>
        <scatterStyle val="lineMarker"/>
        <varyColors val="0"/>
        <ser>
          <idx val="8"/>
          <order val="0"/>
          <tx>
            <strRef>
              <f>'UUT 5'!$E$56</f>
              <strCache>
                <ptCount val="1"/>
              </strCache>
            </strRef>
          </tx>
          <spPr>
            <a:ln w="12700">
              <a:solidFill>
                <a:srgbClr val="00008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5'!$D$57:$D$465</f>
              <numCache>
                <formatCode>General</formatCode>
                <ptCount val="409"/>
              </numCache>
            </numRef>
          </xVal>
          <yVal>
            <numRef>
              <f>'UUT 5'!$E$57:$E$465</f>
              <numCache>
                <formatCode>General</formatCode>
                <ptCount val="409"/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437008384"/>
        <axId val="1"/>
      </scatterChart>
      <valAx>
        <axId val="437008384"/>
        <scaling>
          <orientation val="minMax"/>
          <max val="11.9409963883294"/>
          <min val="8.610619439019098e-06"/>
        </scaling>
        <delete val="0"/>
        <axPos val="b"/>
        <minorGridlines>
          <spPr>
            <a:ln w="3175">
              <a:solidFill>
                <a:srgbClr val="00000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MHz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662014967723629"/>
              <y val="0.894927536231884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270000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"/>
        <crossesAt val="-11.34200000000001"/>
        <crossBetween val="midCat"/>
        <majorUnit val="1.194098777770996"/>
        <minorUnit val="1.194098777770996"/>
      </valAx>
      <valAx>
        <axId val="1"/>
        <scaling>
          <orientation val="minMax"/>
          <max val="4.231442786069652"/>
          <min val="-3.768557213930352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dBm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564091650705824"/>
              <y val="0.392750199703298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437008384"/>
        <crossesAt val="0"/>
        <crossBetween val="midCat"/>
        <majorUnit val="2"/>
        <minorUnit val="2"/>
      </valAx>
    </plotArea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Isolation</a:t>
            </a:r>
          </a:p>
        </rich>
      </tx>
      <layout>
        <manualLayout>
          <xMode val="edge"/>
          <yMode val="edge"/>
          <wMode val="factor"/>
          <hMode val="factor"/>
          <x val="0.432333297864794"/>
          <y val="0.03480953769667681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2085561497326203"/>
          <y val="0.1398603786405612"/>
          <w val="0.6764705882352942"/>
          <h val="0.5734275524263009"/>
        </manualLayout>
      </layout>
      <scatterChart>
        <scatterStyle val="lineMarker"/>
        <varyColors val="0"/>
        <ser>
          <idx val="4"/>
          <order val="0"/>
          <tx>
            <strRef>
              <f>'UUT 5'!$G$56</f>
              <strCache>
                <ptCount val="1"/>
              </strCache>
            </strRef>
          </tx>
          <spPr>
            <a:ln w="12700">
              <a:solidFill>
                <a:srgbClr val="00008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5'!$F$57:$F$310</f>
              <numCache>
                <formatCode>General</formatCode>
                <ptCount val="254"/>
              </numCache>
            </numRef>
          </xVal>
          <yVal>
            <numRef>
              <f>'UUT 5'!$G$57:$G$310</f>
              <numCache>
                <formatCode>General</formatCode>
                <ptCount val="254"/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437006744"/>
        <axId val="1"/>
      </scatterChart>
      <valAx>
        <axId val="437006744"/>
        <scaling>
          <orientation val="minMax"/>
          <max val="11.9409963883294"/>
          <min val="8.610619439019098e-06"/>
        </scaling>
        <delete val="0"/>
        <axPos val="b"/>
        <minorGridlines>
          <spPr>
            <a:ln w="3175">
              <a:solidFill>
                <a:srgbClr val="00000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MHz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662013194296659"/>
              <y val="0.8977072310405644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270000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"/>
        <crossesAt val="-11.34200000000001"/>
        <crossBetween val="midCat"/>
        <majorUnit val="1.194098777770996"/>
        <minorUnit val="1.194098777770996"/>
      </valAx>
      <valAx>
        <axId val="1"/>
        <scaling>
          <orientation val="minMax"/>
          <max val="4.231442786069652"/>
          <min val="-3.768557213930352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dBm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564091650705824"/>
              <y val="0.3927503506506131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437006744"/>
        <crossesAt val="0"/>
        <crossBetween val="midCat"/>
        <majorUnit val="2"/>
        <minorUnit val="2"/>
      </valAx>
    </plotArea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Phase Balance</a:t>
            </a:r>
          </a:p>
        </rich>
      </tx>
      <layout>
        <manualLayout>
          <xMode val="edge"/>
          <yMode val="edge"/>
          <wMode val="factor"/>
          <hMode val="factor"/>
          <x val="0.3827837483152444"/>
          <y val="0.03480987953428898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2085561497326203"/>
          <y val="0.1398603786405612"/>
          <w val="0.6764705882352942"/>
          <h val="0.5734275524263009"/>
        </manualLayout>
      </layout>
      <scatterChart>
        <scatterStyle val="lineMarker"/>
        <varyColors val="0"/>
        <ser>
          <idx val="0"/>
          <order val="0"/>
          <tx>
            <strRef>
              <f>'UUT 5'!$I$56</f>
              <strCache>
                <ptCount val="1"/>
              </strCache>
            </strRef>
          </tx>
          <spPr>
            <a:ln w="12700">
              <a:solidFill>
                <a:srgbClr val="00008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5'!$H$57:$H$308</f>
              <numCache>
                <formatCode>General</formatCode>
                <ptCount val="252"/>
              </numCache>
            </numRef>
          </xVal>
          <yVal>
            <numRef>
              <f>'UUT 5'!$I$57:$I$308</f>
              <numCache>
                <formatCode>General</formatCode>
                <ptCount val="252"/>
              </numCache>
            </numRef>
          </yVal>
          <smooth val="0"/>
        </ser>
        <ser>
          <idx val="1"/>
          <order val="1"/>
          <tx>
            <strRef>
              <f>'UUT 5'!$J$56</f>
              <strCache>
                <ptCount val="1"/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'UUT 5'!$H$57:$H$308</f>
              <numCache>
                <formatCode>General</formatCode>
                <ptCount val="252"/>
              </numCache>
            </numRef>
          </xVal>
          <yVal>
            <numRef>
              <f>'UUT 5'!$J$57:$J$308</f>
              <numCache>
                <formatCode>General</formatCode>
                <ptCount val="252"/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435471664"/>
        <axId val="1"/>
      </scatterChart>
      <valAx>
        <axId val="435471664"/>
        <scaling>
          <orientation val="minMax"/>
          <max val="11.9409963883294"/>
          <min val="8.610619439019098e-06"/>
        </scaling>
        <delete val="0"/>
        <axPos val="b"/>
        <minorGridlines>
          <spPr>
            <a:ln w="3175">
              <a:solidFill>
                <a:srgbClr val="00000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MHz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662014967723629"/>
              <y val="0.900303385153778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270000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"/>
        <crossesAt val="-11.34200000000001"/>
        <crossBetween val="midCat"/>
        <majorUnit val="1.194098777770996"/>
        <minorUnit val="1.194098777770996"/>
      </valAx>
      <valAx>
        <axId val="1"/>
        <scaling>
          <orientation val="minMax"/>
          <max val="4.231442786069652"/>
          <min val="-3.768557213930352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title>
          <tx>
            <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dBm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564091650705824"/>
              <y val="0.39274998317518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435471664"/>
        <crossesAt val="0"/>
        <crossBetween val="midCat"/>
        <majorUnit val="2"/>
        <minorUnit val="2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image" Target="/xl/media/image1.jpeg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image" Target="/xl/media/image2.jpeg" Id="rId5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 /><Relationship Type="http://schemas.openxmlformats.org/officeDocument/2006/relationships/chart" Target="/xl/charts/chart6.xml" Id="rId2" /><Relationship Type="http://schemas.openxmlformats.org/officeDocument/2006/relationships/chart" Target="/xl/charts/chart7.xml" Id="rId3" /><Relationship Type="http://schemas.openxmlformats.org/officeDocument/2006/relationships/chart" Target="/xl/charts/chart8.xml" Id="rId4" /><Relationship Type="http://schemas.openxmlformats.org/officeDocument/2006/relationships/image" Target="/xl/media/image3.jpeg" Id="rId5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9.xml" Id="rId1" /><Relationship Type="http://schemas.openxmlformats.org/officeDocument/2006/relationships/chart" Target="/xl/charts/chart10.xml" Id="rId2" /><Relationship Type="http://schemas.openxmlformats.org/officeDocument/2006/relationships/chart" Target="/xl/charts/chart11.xml" Id="rId3" /><Relationship Type="http://schemas.openxmlformats.org/officeDocument/2006/relationships/chart" Target="/xl/charts/chart12.xml" Id="rId4" /><Relationship Type="http://schemas.openxmlformats.org/officeDocument/2006/relationships/image" Target="/xl/media/image4.jpeg" Id="rId5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13.xml" Id="rId1" /><Relationship Type="http://schemas.openxmlformats.org/officeDocument/2006/relationships/chart" Target="/xl/charts/chart14.xml" Id="rId2" /><Relationship Type="http://schemas.openxmlformats.org/officeDocument/2006/relationships/chart" Target="/xl/charts/chart15.xml" Id="rId3" /><Relationship Type="http://schemas.openxmlformats.org/officeDocument/2006/relationships/chart" Target="/xl/charts/chart16.xml" Id="rId4" /><Relationship Type="http://schemas.openxmlformats.org/officeDocument/2006/relationships/image" Target="/xl/media/image5.jpeg" Id="rId5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17.xml" Id="rId1" /><Relationship Type="http://schemas.openxmlformats.org/officeDocument/2006/relationships/chart" Target="/xl/charts/chart18.xml" Id="rId2" /><Relationship Type="http://schemas.openxmlformats.org/officeDocument/2006/relationships/chart" Target="/xl/charts/chart19.xml" Id="rId3" /><Relationship Type="http://schemas.openxmlformats.org/officeDocument/2006/relationships/chart" Target="/xl/charts/chart20.xml" Id="rId4" /><Relationship Type="http://schemas.openxmlformats.org/officeDocument/2006/relationships/image" Target="/xl/media/image6.jpeg" Id="rId5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19050</colOff>
      <row>0</row>
      <rowOff>47625</rowOff>
    </from>
    <to>
      <col>2</col>
      <colOff>685800</colOff>
      <row>2</row>
      <rowOff>123825</rowOff>
    </to>
    <pic>
      <nvPicPr>
        <cNvPr id="1049" name="Picture 1" descr="ipplogo_burst400_phpLmycWO"/>
        <cNvPicPr>
          <a:picLocks noChangeAspect="1" noChangeArrowheads="1"/>
        </cNvPicPr>
      </nvPicPr>
      <blipFill>
        <a:blip r:embed="rId1"/>
        <a:srcRect/>
        <a:stretch>
          <a:fillRect/>
        </a:stretch>
      </blipFill>
      <spPr bwMode="auto">
        <a:xfrm>
          <a:off x="19050" y="47625"/>
          <a:ext cx="2247900" cy="62865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57150</colOff>
      <row>5</row>
      <rowOff>9525</rowOff>
    </from>
    <to>
      <col>6</col>
      <colOff>571500</colOff>
      <row>16</row>
      <rowOff>57150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0</col>
      <colOff>57150</colOff>
      <row>16</row>
      <rowOff>66675</rowOff>
    </from>
    <to>
      <col>6</col>
      <colOff>571500</colOff>
      <row>27</row>
      <rowOff>38100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0</col>
      <colOff>47625</colOff>
      <row>27</row>
      <rowOff>38100</rowOff>
    </from>
    <to>
      <col>6</col>
      <colOff>561975</colOff>
      <row>38</row>
      <rowOff>57150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47625</colOff>
      <row>38</row>
      <rowOff>57150</rowOff>
    </from>
    <to>
      <col>6</col>
      <colOff>561975</colOff>
      <row>49</row>
      <rowOff>133350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 editAs="oneCell">
    <from>
      <col>0</col>
      <colOff>161925</colOff>
      <row>0</row>
      <rowOff>19050</rowOff>
    </from>
    <to>
      <col>2</col>
      <colOff>695325</colOff>
      <row>4</row>
      <rowOff>9525</rowOff>
    </to>
    <pic>
      <nvPicPr>
        <cNvPr id="2144" name="Picture 1" descr="ipplogo_burst400_phpLmycWO"/>
        <cNvPicPr>
          <a:picLocks noChangeAspect="1" noChangeArrowheads="1"/>
        </cNvPicPr>
      </nvPicPr>
      <blipFill>
        <a:blip r:embed="rId5"/>
        <a:srcRect/>
        <a:stretch>
          <a:fillRect/>
        </a:stretch>
      </blipFill>
      <spPr bwMode="auto">
        <a:xfrm>
          <a:off x="161925" y="19050"/>
          <a:ext cx="2247900" cy="866775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57150</colOff>
      <row>5</row>
      <rowOff>9525</rowOff>
    </from>
    <to>
      <col>6</col>
      <colOff>571500</colOff>
      <row>16</row>
      <rowOff>57150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0</col>
      <colOff>57150</colOff>
      <row>16</row>
      <rowOff>66675</rowOff>
    </from>
    <to>
      <col>6</col>
      <colOff>571500</colOff>
      <row>27</row>
      <rowOff>38100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0</col>
      <colOff>47625</colOff>
      <row>27</row>
      <rowOff>38100</rowOff>
    </from>
    <to>
      <col>6</col>
      <colOff>561975</colOff>
      <row>38</row>
      <rowOff>57150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47625</colOff>
      <row>38</row>
      <rowOff>57150</rowOff>
    </from>
    <to>
      <col>6</col>
      <colOff>561975</colOff>
      <row>49</row>
      <rowOff>133350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 editAs="oneCell">
    <from>
      <col>0</col>
      <colOff>161925</colOff>
      <row>0</row>
      <rowOff>19050</rowOff>
    </from>
    <to>
      <col>2</col>
      <colOff>695325</colOff>
      <row>4</row>
      <rowOff>9525</rowOff>
    </to>
    <pic>
      <nvPicPr>
        <cNvPr id="94229" name="Picture 1" descr="ipplogo_burst400_phpLmycWO"/>
        <cNvPicPr>
          <a:picLocks noChangeAspect="1" noChangeArrowheads="1"/>
        </cNvPicPr>
      </nvPicPr>
      <blipFill>
        <a:blip r:embed="rId5"/>
        <a:srcRect/>
        <a:stretch>
          <a:fillRect/>
        </a:stretch>
      </blipFill>
      <spPr bwMode="auto">
        <a:xfrm>
          <a:off x="161925" y="19050"/>
          <a:ext cx="2247900" cy="866775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57150</colOff>
      <row>5</row>
      <rowOff>9525</rowOff>
    </from>
    <to>
      <col>6</col>
      <colOff>571500</colOff>
      <row>16</row>
      <rowOff>57150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0</col>
      <colOff>57150</colOff>
      <row>16</row>
      <rowOff>66675</rowOff>
    </from>
    <to>
      <col>6</col>
      <colOff>571500</colOff>
      <row>27</row>
      <rowOff>38100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0</col>
      <colOff>47625</colOff>
      <row>27</row>
      <rowOff>38100</rowOff>
    </from>
    <to>
      <col>6</col>
      <colOff>561975</colOff>
      <row>38</row>
      <rowOff>57150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47625</colOff>
      <row>38</row>
      <rowOff>57150</rowOff>
    </from>
    <to>
      <col>6</col>
      <colOff>561975</colOff>
      <row>49</row>
      <rowOff>133350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 editAs="oneCell">
    <from>
      <col>0</col>
      <colOff>161925</colOff>
      <row>0</row>
      <rowOff>19050</rowOff>
    </from>
    <to>
      <col>2</col>
      <colOff>695325</colOff>
      <row>4</row>
      <rowOff>9525</rowOff>
    </to>
    <pic>
      <nvPicPr>
        <cNvPr id="103440" name="Picture 1" descr="ipplogo_burst400_phpLmycWO"/>
        <cNvPicPr>
          <a:picLocks noChangeAspect="1" noChangeArrowheads="1"/>
        </cNvPicPr>
      </nvPicPr>
      <blipFill>
        <a:blip r:embed="rId5"/>
        <a:srcRect/>
        <a:stretch>
          <a:fillRect/>
        </a:stretch>
      </blipFill>
      <spPr bwMode="auto">
        <a:xfrm>
          <a:off x="161925" y="19050"/>
          <a:ext cx="2247900" cy="866775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57150</colOff>
      <row>5</row>
      <rowOff>9525</rowOff>
    </from>
    <to>
      <col>6</col>
      <colOff>571500</colOff>
      <row>16</row>
      <rowOff>57150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0</col>
      <colOff>57150</colOff>
      <row>16</row>
      <rowOff>66675</rowOff>
    </from>
    <to>
      <col>6</col>
      <colOff>571500</colOff>
      <row>27</row>
      <rowOff>38100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0</col>
      <colOff>47625</colOff>
      <row>27</row>
      <rowOff>38100</rowOff>
    </from>
    <to>
      <col>6</col>
      <colOff>561975</colOff>
      <row>38</row>
      <rowOff>57150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47625</colOff>
      <row>38</row>
      <rowOff>57150</rowOff>
    </from>
    <to>
      <col>6</col>
      <colOff>561975</colOff>
      <row>49</row>
      <rowOff>133350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 editAs="oneCell">
    <from>
      <col>0</col>
      <colOff>161925</colOff>
      <row>0</row>
      <rowOff>19050</rowOff>
    </from>
    <to>
      <col>2</col>
      <colOff>695325</colOff>
      <row>4</row>
      <rowOff>9525</rowOff>
    </to>
    <pic>
      <nvPicPr>
        <cNvPr id="104464" name="Picture 1" descr="ipplogo_burst400_phpLmycWO"/>
        <cNvPicPr>
          <a:picLocks noChangeAspect="1" noChangeArrowheads="1"/>
        </cNvPicPr>
      </nvPicPr>
      <blipFill>
        <a:blip r:embed="rId5"/>
        <a:srcRect/>
        <a:stretch>
          <a:fillRect/>
        </a:stretch>
      </blipFill>
      <spPr bwMode="auto">
        <a:xfrm>
          <a:off x="161925" y="19050"/>
          <a:ext cx="2247900" cy="866775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57150</colOff>
      <row>5</row>
      <rowOff>9525</rowOff>
    </from>
    <to>
      <col>6</col>
      <colOff>571500</colOff>
      <row>16</row>
      <rowOff>57150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0</col>
      <colOff>57150</colOff>
      <row>16</row>
      <rowOff>66675</rowOff>
    </from>
    <to>
      <col>6</col>
      <colOff>571500</colOff>
      <row>27</row>
      <rowOff>38100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0</col>
      <colOff>47625</colOff>
      <row>27</row>
      <rowOff>38100</rowOff>
    </from>
    <to>
      <col>6</col>
      <colOff>561975</colOff>
      <row>38</row>
      <rowOff>57150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47625</colOff>
      <row>38</row>
      <rowOff>57150</rowOff>
    </from>
    <to>
      <col>6</col>
      <colOff>561975</colOff>
      <row>49</row>
      <rowOff>133350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 editAs="oneCell">
    <from>
      <col>0</col>
      <colOff>161925</colOff>
      <row>0</row>
      <rowOff>19050</rowOff>
    </from>
    <to>
      <col>2</col>
      <colOff>695325</colOff>
      <row>4</row>
      <rowOff>9525</rowOff>
    </to>
    <pic>
      <nvPicPr>
        <cNvPr id="105488" name="Picture 1" descr="ipplogo_burst400_phpLmycWO"/>
        <cNvPicPr>
          <a:picLocks noChangeAspect="1" noChangeArrowheads="1"/>
        </cNvPicPr>
      </nvPicPr>
      <blipFill>
        <a:blip r:embed="rId5"/>
        <a:srcRect/>
        <a:stretch>
          <a:fillRect/>
        </a:stretch>
      </blipFill>
      <spPr bwMode="auto">
        <a:xfrm>
          <a:off x="161925" y="19050"/>
          <a:ext cx="2247900" cy="866775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2.75"/>
  <sheetData/>
  <pageMargins left="0.7" right="0.7" top="0.75" bottom="0.75" header="0.3" footer="0.3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P5"/>
  <sheetViews>
    <sheetView tabSelected="1" workbookViewId="0">
      <selection activeCell="N19" sqref="N19"/>
    </sheetView>
  </sheetViews>
  <sheetFormatPr baseColWidth="8" defaultRowHeight="12.75"/>
  <cols>
    <col width="12.85546875" customWidth="1" style="8" min="1" max="1"/>
    <col width="10.85546875" customWidth="1" style="8" min="2" max="2"/>
    <col width="12.7109375" customWidth="1" style="8" min="3" max="3"/>
    <col width="11.140625" customWidth="1" style="8" min="4" max="4"/>
    <col width="9" customWidth="1" style="8" min="5" max="5"/>
    <col width="16.140625" customWidth="1" style="8" min="6" max="6"/>
    <col width="13.28515625" customWidth="1" style="8" min="7" max="7"/>
  </cols>
  <sheetData>
    <row r="1" ht="30.75" customHeight="1" s="8">
      <c r="D1" s="12" t="inlineStr">
        <is>
          <t>Test Data</t>
        </is>
      </c>
      <c r="H1" s="3" t="n"/>
      <c r="I1" s="3" t="n"/>
      <c r="J1" s="3" t="n"/>
      <c r="K1" s="3" t="n"/>
      <c r="L1" s="3" t="n"/>
      <c r="M1" s="3" t="n"/>
      <c r="N1" s="3" t="n"/>
      <c r="O1" s="3" t="n"/>
      <c r="P1" s="3" t="n"/>
    </row>
    <row r="2">
      <c r="D2" s="19" t="inlineStr">
        <is>
          <t>Job Number:</t>
        </is>
      </c>
      <c r="F2" s="16" t="inlineStr">
        <is>
          <t>398789-02</t>
        </is>
      </c>
      <c r="H2" s="2" t="n"/>
      <c r="I2" s="11" t="n"/>
    </row>
    <row r="3">
      <c r="D3" s="19" t="inlineStr">
        <is>
          <t>Part Number:</t>
        </is>
      </c>
      <c r="F3" s="16" t="inlineStr">
        <is>
          <t>398789-02</t>
        </is>
      </c>
      <c r="H3" s="2" t="n"/>
      <c r="I3" s="11" t="n"/>
      <c r="J3" s="11" t="n"/>
    </row>
    <row r="4" ht="13.5" customHeight="1" s="8" thickBot="1">
      <c r="D4" s="14" t="inlineStr">
        <is>
          <t>Part Type:</t>
        </is>
      </c>
      <c r="E4" s="21" t="n"/>
      <c r="F4" s="17" t="inlineStr">
        <is>
          <t>398789-02</t>
        </is>
      </c>
      <c r="G4" s="21" t="n"/>
      <c r="H4" s="2" t="n"/>
      <c r="I4" s="11" t="n"/>
    </row>
    <row r="5" ht="20.25" customHeight="1" s="8" thickBot="1">
      <c r="A5" s="4" t="inlineStr">
        <is>
          <t>Serial Number</t>
        </is>
      </c>
      <c r="B5" s="5" t="inlineStr">
        <is>
          <t>Workstation</t>
        </is>
      </c>
      <c r="C5" s="5" t="inlineStr">
        <is>
          <t>Insertion Loss</t>
        </is>
      </c>
      <c r="D5" s="5" t="inlineStr">
        <is>
          <t>Return Loss</t>
        </is>
      </c>
      <c r="E5" s="5" t="inlineStr">
        <is>
          <t>Isolation</t>
        </is>
      </c>
      <c r="F5" s="5" t="inlineStr">
        <is>
          <t>Amplitude Balance</t>
        </is>
      </c>
      <c r="G5" s="6" t="inlineStr">
        <is>
          <t>Phase Balance</t>
        </is>
      </c>
    </row>
  </sheetData>
  <mergeCells count="9">
    <mergeCell ref="I2:J2"/>
    <mergeCell ref="I4:J4"/>
    <mergeCell ref="D1:G1"/>
    <mergeCell ref="D2:E2"/>
    <mergeCell ref="D3:E3"/>
    <mergeCell ref="D4:E4"/>
    <mergeCell ref="F2:G2"/>
    <mergeCell ref="F3:G3"/>
    <mergeCell ref="F4:G4"/>
  </mergeCells>
  <pageMargins left="0.75" right="0.75" top="1" bottom="1" header="0.5" footer="0.5"/>
  <pageSetup orientation="portrait" horizontalDpi="200" verticalDpi="200"/>
  <drawing r:id="rId1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/>
  </sheetPr>
  <dimension ref="A1:P55"/>
  <sheetViews>
    <sheetView topLeftCell="A28" workbookViewId="0">
      <selection activeCell="K12" sqref="K12"/>
    </sheetView>
  </sheetViews>
  <sheetFormatPr baseColWidth="8" defaultRowHeight="12.75"/>
  <cols>
    <col width="12.85546875" customWidth="1" style="8" min="1" max="3"/>
    <col width="13" customWidth="1" style="8" min="4" max="4"/>
    <col width="16.140625" customWidth="1" style="8" min="6" max="6"/>
  </cols>
  <sheetData>
    <row r="1" ht="30.75" customHeight="1" s="8">
      <c r="D1" s="12" t="inlineStr">
        <is>
          <t>Chart Data</t>
        </is>
      </c>
      <c r="H1" s="3" t="n"/>
      <c r="I1" s="3" t="n"/>
      <c r="J1" s="3" t="n"/>
      <c r="K1" s="3" t="n"/>
      <c r="L1" s="3" t="n"/>
      <c r="M1" s="3" t="n"/>
      <c r="N1" s="3" t="n"/>
      <c r="O1" s="3" t="n"/>
      <c r="P1" s="3" t="n"/>
    </row>
    <row r="2">
      <c r="D2" s="19" t="inlineStr">
        <is>
          <t>Job Number:</t>
        </is>
      </c>
      <c r="F2" s="16">
        <f>'Raw Data'!F2</f>
        <v/>
      </c>
      <c r="H2" s="2" t="n"/>
      <c r="I2" s="11" t="n"/>
    </row>
    <row r="3">
      <c r="D3" s="19" t="inlineStr">
        <is>
          <t>Part Number:</t>
        </is>
      </c>
      <c r="F3" s="16">
        <f>'Raw Data'!F3</f>
        <v/>
      </c>
      <c r="H3" s="2" t="n"/>
      <c r="I3" s="11" t="n"/>
      <c r="J3" s="11" t="n"/>
    </row>
    <row r="4">
      <c r="D4" s="19" t="inlineStr">
        <is>
          <t>Serial Number:</t>
        </is>
      </c>
      <c r="F4" s="16" t="inlineStr">
        <is>
          <t>UUT 1</t>
        </is>
      </c>
      <c r="H4" s="2" t="n"/>
      <c r="I4" s="11" t="n"/>
      <c r="J4" s="11" t="n"/>
    </row>
    <row r="5">
      <c r="D5" s="19" t="inlineStr">
        <is>
          <t>Part Type:</t>
        </is>
      </c>
      <c r="F5" s="16">
        <f>'Raw Data'!F4</f>
        <v/>
      </c>
      <c r="H5" s="2" t="n"/>
      <c r="I5" s="11" t="n"/>
    </row>
    <row r="53" ht="15.75" customHeight="1" s="8">
      <c r="B53" s="20" t="inlineStr">
        <is>
          <t>Test Data Follows:</t>
        </is>
      </c>
      <c r="F53" s="20" t="n"/>
      <c r="G53" s="20" t="n"/>
    </row>
    <row r="54" ht="15.75" customHeight="1" s="8">
      <c r="A54" s="20" t="inlineStr">
        <is>
          <t>Chart1</t>
        </is>
      </c>
      <c r="D54" s="20" t="inlineStr">
        <is>
          <t>Chart2</t>
        </is>
      </c>
      <c r="F54" s="20" t="inlineStr">
        <is>
          <t>Chart3</t>
        </is>
      </c>
      <c r="H54" s="20" t="inlineStr">
        <is>
          <t>Chart4</t>
        </is>
      </c>
    </row>
    <row r="55">
      <c r="A55" s="11" t="inlineStr">
        <is>
          <t>Freq MHz</t>
        </is>
      </c>
      <c r="B55" s="11" t="inlineStr">
        <is>
          <t>Trace1</t>
        </is>
      </c>
      <c r="C55" s="11" t="inlineStr">
        <is>
          <t>Trace2</t>
        </is>
      </c>
      <c r="D55" s="11" t="inlineStr">
        <is>
          <t>Freq MHz</t>
        </is>
      </c>
      <c r="E55" s="11" t="inlineStr">
        <is>
          <t>Trace1</t>
        </is>
      </c>
      <c r="F55" s="11" t="inlineStr">
        <is>
          <t>Freq MHz</t>
        </is>
      </c>
      <c r="G55" s="11" t="inlineStr">
        <is>
          <t>Trace1</t>
        </is>
      </c>
      <c r="H55" s="11" t="inlineStr">
        <is>
          <t>Freq MHz</t>
        </is>
      </c>
      <c r="I55" s="11" t="inlineStr">
        <is>
          <t>Trace1</t>
        </is>
      </c>
      <c r="J55" s="10" t="inlineStr">
        <is>
          <t>Trace2</t>
        </is>
      </c>
    </row>
  </sheetData>
  <mergeCells count="16">
    <mergeCell ref="H54:J54"/>
    <mergeCell ref="D5:E5"/>
    <mergeCell ref="F5:G5"/>
    <mergeCell ref="I5:J5"/>
    <mergeCell ref="D1:G1"/>
    <mergeCell ref="D2:E2"/>
    <mergeCell ref="F2:G2"/>
    <mergeCell ref="I2:J2"/>
    <mergeCell ref="D3:E3"/>
    <mergeCell ref="F3:G3"/>
    <mergeCell ref="B53:E53"/>
    <mergeCell ref="A54:C54"/>
    <mergeCell ref="D54:E54"/>
    <mergeCell ref="F54:G54"/>
    <mergeCell ref="D4:E4"/>
    <mergeCell ref="F4:G4"/>
  </mergeCells>
  <pageMargins left="0.75" right="0.75" top="1" bottom="1" header="0.5" footer="0.5"/>
  <pageSetup orientation="portrait" horizontalDpi="4294967293" verticalDpi="4294967293"/>
  <drawing r:id="rId1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A1:P55"/>
  <sheetViews>
    <sheetView workbookViewId="0">
      <selection activeCell="F3" sqref="F3:G3"/>
    </sheetView>
  </sheetViews>
  <sheetFormatPr baseColWidth="8" defaultRowHeight="12.75"/>
  <cols>
    <col width="12.85546875" customWidth="1" style="8" min="1" max="3"/>
    <col width="13" customWidth="1" style="8" min="4" max="4"/>
    <col width="16.140625" customWidth="1" style="8" min="6" max="6"/>
  </cols>
  <sheetData>
    <row r="1" ht="30.75" customHeight="1" s="8">
      <c r="D1" s="12" t="inlineStr">
        <is>
          <t>Chart Data</t>
        </is>
      </c>
      <c r="H1" s="3" t="n"/>
      <c r="I1" s="3" t="n"/>
      <c r="J1" s="3" t="n"/>
      <c r="K1" s="3" t="n"/>
      <c r="L1" s="3" t="n"/>
      <c r="M1" s="3" t="n"/>
      <c r="N1" s="3" t="n"/>
      <c r="O1" s="3" t="n"/>
      <c r="P1" s="3" t="n"/>
    </row>
    <row r="2">
      <c r="D2" s="19" t="inlineStr">
        <is>
          <t>Job Number:</t>
        </is>
      </c>
      <c r="F2" s="16">
        <f>'Raw Data'!F2</f>
        <v/>
      </c>
      <c r="H2" s="2" t="n"/>
      <c r="I2" s="11" t="n"/>
    </row>
    <row r="3">
      <c r="D3" s="19" t="inlineStr">
        <is>
          <t>Part Number:</t>
        </is>
      </c>
      <c r="F3" s="16">
        <f>'Raw Data'!F3</f>
        <v/>
      </c>
      <c r="H3" s="2" t="n"/>
      <c r="I3" s="11" t="n"/>
      <c r="J3" s="11" t="n"/>
    </row>
    <row r="4">
      <c r="D4" s="19" t="inlineStr">
        <is>
          <t>Serial Number:</t>
        </is>
      </c>
      <c r="F4" s="16" t="inlineStr">
        <is>
          <t>UUT 2</t>
        </is>
      </c>
      <c r="H4" s="2" t="n"/>
      <c r="I4" s="11" t="n"/>
      <c r="J4" s="11" t="n"/>
    </row>
    <row r="5">
      <c r="D5" s="19" t="inlineStr">
        <is>
          <t>Part Type:</t>
        </is>
      </c>
      <c r="F5" s="16">
        <f>'Raw Data'!F4</f>
        <v/>
      </c>
      <c r="H5" s="2" t="n"/>
      <c r="I5" s="11" t="n"/>
    </row>
    <row r="53" ht="15.75" customHeight="1" s="8">
      <c r="B53" s="20" t="inlineStr">
        <is>
          <t>Test Data Follows:</t>
        </is>
      </c>
      <c r="F53" s="20" t="n"/>
      <c r="G53" s="20" t="n"/>
    </row>
    <row r="54" ht="15.75" customHeight="1" s="8">
      <c r="A54" s="20" t="inlineStr">
        <is>
          <t>Chart1</t>
        </is>
      </c>
      <c r="D54" s="20" t="inlineStr">
        <is>
          <t>Chart2</t>
        </is>
      </c>
      <c r="F54" s="20" t="inlineStr">
        <is>
          <t>Chart3</t>
        </is>
      </c>
      <c r="H54" s="20" t="inlineStr">
        <is>
          <t>Chart4</t>
        </is>
      </c>
    </row>
    <row r="55">
      <c r="A55" s="11" t="inlineStr">
        <is>
          <t>Freq MHz</t>
        </is>
      </c>
      <c r="B55" s="11" t="inlineStr">
        <is>
          <t>Trace1</t>
        </is>
      </c>
      <c r="C55" s="11" t="inlineStr">
        <is>
          <t>Trace2</t>
        </is>
      </c>
      <c r="D55" s="11" t="inlineStr">
        <is>
          <t>Freq MHz</t>
        </is>
      </c>
      <c r="E55" s="11" t="inlineStr">
        <is>
          <t>Trace1</t>
        </is>
      </c>
      <c r="F55" s="11" t="inlineStr">
        <is>
          <t>Freq MHz</t>
        </is>
      </c>
      <c r="G55" s="11" t="inlineStr">
        <is>
          <t>Trace1</t>
        </is>
      </c>
      <c r="H55" s="11" t="inlineStr">
        <is>
          <t>Freq MHz</t>
        </is>
      </c>
      <c r="I55" s="11" t="inlineStr">
        <is>
          <t>Trace1</t>
        </is>
      </c>
      <c r="J55" s="10" t="inlineStr">
        <is>
          <t>Trace2</t>
        </is>
      </c>
    </row>
  </sheetData>
  <mergeCells count="16">
    <mergeCell ref="A54:C54"/>
    <mergeCell ref="D54:E54"/>
    <mergeCell ref="F54:G54"/>
    <mergeCell ref="H54:J54"/>
    <mergeCell ref="D4:E4"/>
    <mergeCell ref="F4:G4"/>
    <mergeCell ref="D5:E5"/>
    <mergeCell ref="F5:G5"/>
    <mergeCell ref="I5:J5"/>
    <mergeCell ref="B53:E53"/>
    <mergeCell ref="D1:G1"/>
    <mergeCell ref="D2:E2"/>
    <mergeCell ref="F2:G2"/>
    <mergeCell ref="I2:J2"/>
    <mergeCell ref="D3:E3"/>
    <mergeCell ref="F3:G3"/>
  </mergeCells>
  <pageMargins left="0.75" right="0.75" top="1" bottom="1" header="0.5" footer="0.5"/>
  <pageSetup orientation="portrait" horizontalDpi="4294967293" verticalDpi="4294967293"/>
  <drawing r:id="rId1"/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4">
    <outlinePr summaryBelow="1" summaryRight="1"/>
    <pageSetUpPr/>
  </sheetPr>
  <dimension ref="A1:P55"/>
  <sheetViews>
    <sheetView workbookViewId="0">
      <selection activeCell="F4" sqref="F4:G4"/>
    </sheetView>
  </sheetViews>
  <sheetFormatPr baseColWidth="8" defaultRowHeight="12.75"/>
  <cols>
    <col width="12.85546875" customWidth="1" style="8" min="1" max="3"/>
    <col width="13" customWidth="1" style="8" min="4" max="4"/>
    <col width="16.140625" customWidth="1" style="8" min="6" max="6"/>
  </cols>
  <sheetData>
    <row r="1" ht="30.75" customHeight="1" s="8">
      <c r="D1" s="12" t="inlineStr">
        <is>
          <t>Chart Data</t>
        </is>
      </c>
      <c r="H1" s="3" t="n"/>
      <c r="I1" s="3" t="n"/>
      <c r="J1" s="3" t="n"/>
      <c r="K1" s="3" t="n"/>
      <c r="L1" s="3" t="n"/>
      <c r="M1" s="3" t="n"/>
      <c r="N1" s="3" t="n"/>
      <c r="O1" s="3" t="n"/>
      <c r="P1" s="3" t="n"/>
    </row>
    <row r="2">
      <c r="D2" s="19" t="inlineStr">
        <is>
          <t>Job Number:</t>
        </is>
      </c>
      <c r="F2" s="16">
        <f>'Raw Data'!F2</f>
        <v/>
      </c>
      <c r="H2" s="2" t="n"/>
      <c r="I2" s="11" t="n"/>
    </row>
    <row r="3">
      <c r="D3" s="19" t="inlineStr">
        <is>
          <t>Part Number:</t>
        </is>
      </c>
      <c r="F3" s="16">
        <f>'Raw Data'!F3</f>
        <v/>
      </c>
      <c r="H3" s="2" t="n"/>
      <c r="I3" s="11" t="n"/>
      <c r="J3" s="11" t="n"/>
    </row>
    <row r="4">
      <c r="D4" s="19" t="inlineStr">
        <is>
          <t>Serial Number:</t>
        </is>
      </c>
      <c r="F4" s="16" t="inlineStr">
        <is>
          <t>UUT 3</t>
        </is>
      </c>
      <c r="H4" s="2" t="n"/>
      <c r="I4" s="11" t="n"/>
      <c r="J4" s="11" t="n"/>
    </row>
    <row r="5">
      <c r="D5" s="19" t="inlineStr">
        <is>
          <t>Part Type:</t>
        </is>
      </c>
      <c r="F5" s="16">
        <f>'Raw Data'!F4</f>
        <v/>
      </c>
      <c r="H5" s="2" t="n"/>
      <c r="I5" s="11" t="n"/>
    </row>
    <row r="53" ht="15.75" customHeight="1" s="8">
      <c r="B53" s="20" t="inlineStr">
        <is>
          <t>Test Data Follows:</t>
        </is>
      </c>
      <c r="F53" s="20" t="n"/>
      <c r="G53" s="20" t="n"/>
    </row>
    <row r="54" ht="15.75" customHeight="1" s="8">
      <c r="A54" s="20" t="inlineStr">
        <is>
          <t>Chart1</t>
        </is>
      </c>
      <c r="D54" s="20" t="inlineStr">
        <is>
          <t>Chart2</t>
        </is>
      </c>
      <c r="F54" s="20" t="inlineStr">
        <is>
          <t>Chart3</t>
        </is>
      </c>
      <c r="H54" s="20" t="inlineStr">
        <is>
          <t>Chart4</t>
        </is>
      </c>
    </row>
    <row r="55">
      <c r="A55" s="11" t="inlineStr">
        <is>
          <t>Freq MHz</t>
        </is>
      </c>
      <c r="B55" s="11" t="inlineStr">
        <is>
          <t>Trace1</t>
        </is>
      </c>
      <c r="C55" s="11" t="inlineStr">
        <is>
          <t>Trace2</t>
        </is>
      </c>
      <c r="D55" s="11" t="inlineStr">
        <is>
          <t>Freq MHz</t>
        </is>
      </c>
      <c r="E55" s="11" t="inlineStr">
        <is>
          <t>Trace1</t>
        </is>
      </c>
      <c r="F55" s="11" t="inlineStr">
        <is>
          <t>Freq MHz</t>
        </is>
      </c>
      <c r="G55" s="11" t="inlineStr">
        <is>
          <t>Trace1</t>
        </is>
      </c>
      <c r="H55" s="11" t="inlineStr">
        <is>
          <t>Freq MHz</t>
        </is>
      </c>
      <c r="I55" s="11" t="inlineStr">
        <is>
          <t>Trace1</t>
        </is>
      </c>
      <c r="J55" s="10" t="inlineStr">
        <is>
          <t>Trace2</t>
        </is>
      </c>
    </row>
  </sheetData>
  <mergeCells count="16">
    <mergeCell ref="A54:C54"/>
    <mergeCell ref="D54:E54"/>
    <mergeCell ref="F54:G54"/>
    <mergeCell ref="H54:J54"/>
    <mergeCell ref="D4:E4"/>
    <mergeCell ref="F4:G4"/>
    <mergeCell ref="D5:E5"/>
    <mergeCell ref="F5:G5"/>
    <mergeCell ref="I5:J5"/>
    <mergeCell ref="B53:E53"/>
    <mergeCell ref="D1:G1"/>
    <mergeCell ref="D2:E2"/>
    <mergeCell ref="F2:G2"/>
    <mergeCell ref="I2:J2"/>
    <mergeCell ref="D3:E3"/>
    <mergeCell ref="F3:G3"/>
  </mergeCells>
  <pageMargins left="0.75" right="0.75" top="1" bottom="1" header="0.5" footer="0.5"/>
  <pageSetup orientation="portrait" horizontalDpi="4294967293" verticalDpi="4294967293"/>
  <drawing r:id="rId1"/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5">
    <outlinePr summaryBelow="1" summaryRight="1"/>
    <pageSetUpPr/>
  </sheetPr>
  <dimension ref="A1:P55"/>
  <sheetViews>
    <sheetView workbookViewId="0">
      <selection activeCell="F4" sqref="F4:G4"/>
    </sheetView>
  </sheetViews>
  <sheetFormatPr baseColWidth="8" defaultRowHeight="12.75"/>
  <cols>
    <col width="12.85546875" customWidth="1" style="8" min="1" max="3"/>
    <col width="13" customWidth="1" style="8" min="4" max="4"/>
    <col width="16.140625" customWidth="1" style="8" min="6" max="6"/>
  </cols>
  <sheetData>
    <row r="1" ht="30.75" customHeight="1" s="8">
      <c r="D1" s="12" t="inlineStr">
        <is>
          <t>Chart Data</t>
        </is>
      </c>
      <c r="H1" s="3" t="n"/>
      <c r="I1" s="3" t="n"/>
      <c r="J1" s="3" t="n"/>
      <c r="K1" s="3" t="n"/>
      <c r="L1" s="3" t="n"/>
      <c r="M1" s="3" t="n"/>
      <c r="N1" s="3" t="n"/>
      <c r="O1" s="3" t="n"/>
      <c r="P1" s="3" t="n"/>
    </row>
    <row r="2">
      <c r="D2" s="19" t="inlineStr">
        <is>
          <t>Job Number:</t>
        </is>
      </c>
      <c r="F2" s="16">
        <f>'Raw Data'!F2</f>
        <v/>
      </c>
      <c r="H2" s="2" t="n"/>
      <c r="I2" s="11" t="n"/>
    </row>
    <row r="3">
      <c r="D3" s="19" t="inlineStr">
        <is>
          <t>Part Number:</t>
        </is>
      </c>
      <c r="F3" s="16">
        <f>'Raw Data'!F3</f>
        <v/>
      </c>
      <c r="H3" s="2" t="n"/>
      <c r="I3" s="11" t="n"/>
      <c r="J3" s="11" t="n"/>
    </row>
    <row r="4">
      <c r="D4" s="19" t="inlineStr">
        <is>
          <t>Serial Number:</t>
        </is>
      </c>
      <c r="F4" s="16" t="inlineStr">
        <is>
          <t>UUT 4</t>
        </is>
      </c>
      <c r="H4" s="2" t="n"/>
      <c r="I4" s="11" t="n"/>
      <c r="J4" s="11" t="n"/>
    </row>
    <row r="5">
      <c r="D5" s="19" t="inlineStr">
        <is>
          <t>Part Type:</t>
        </is>
      </c>
      <c r="F5" s="16">
        <f>'Raw Data'!F4</f>
        <v/>
      </c>
      <c r="H5" s="2" t="n"/>
      <c r="I5" s="11" t="n"/>
    </row>
    <row r="53" ht="15.75" customHeight="1" s="8">
      <c r="B53" s="20" t="inlineStr">
        <is>
          <t>Test Data Follows:</t>
        </is>
      </c>
      <c r="F53" s="20" t="n"/>
      <c r="G53" s="20" t="n"/>
    </row>
    <row r="54" ht="15.75" customHeight="1" s="8">
      <c r="A54" s="20" t="inlineStr">
        <is>
          <t>Chart1</t>
        </is>
      </c>
      <c r="D54" s="20" t="inlineStr">
        <is>
          <t>Chart2</t>
        </is>
      </c>
      <c r="F54" s="20" t="inlineStr">
        <is>
          <t>Chart3</t>
        </is>
      </c>
      <c r="H54" s="20" t="inlineStr">
        <is>
          <t>Chart4</t>
        </is>
      </c>
    </row>
    <row r="55">
      <c r="A55" s="11" t="inlineStr">
        <is>
          <t>Freq MHz</t>
        </is>
      </c>
      <c r="B55" s="11" t="inlineStr">
        <is>
          <t>Trace1</t>
        </is>
      </c>
      <c r="C55" s="11" t="inlineStr">
        <is>
          <t>Trace2</t>
        </is>
      </c>
      <c r="D55" s="11" t="inlineStr">
        <is>
          <t>Freq MHz</t>
        </is>
      </c>
      <c r="E55" s="11" t="inlineStr">
        <is>
          <t>Trace1</t>
        </is>
      </c>
      <c r="F55" s="11" t="inlineStr">
        <is>
          <t>Freq MHz</t>
        </is>
      </c>
      <c r="G55" s="11" t="inlineStr">
        <is>
          <t>Trace1</t>
        </is>
      </c>
      <c r="H55" s="11" t="inlineStr">
        <is>
          <t>Freq MHz</t>
        </is>
      </c>
      <c r="I55" s="11" t="inlineStr">
        <is>
          <t>Trace1</t>
        </is>
      </c>
      <c r="J55" s="10" t="inlineStr">
        <is>
          <t>Trace2</t>
        </is>
      </c>
    </row>
  </sheetData>
  <mergeCells count="16">
    <mergeCell ref="A54:C54"/>
    <mergeCell ref="D54:E54"/>
    <mergeCell ref="F54:G54"/>
    <mergeCell ref="H54:J54"/>
    <mergeCell ref="D4:E4"/>
    <mergeCell ref="F4:G4"/>
    <mergeCell ref="D5:E5"/>
    <mergeCell ref="F5:G5"/>
    <mergeCell ref="I5:J5"/>
    <mergeCell ref="B53:E53"/>
    <mergeCell ref="D1:G1"/>
    <mergeCell ref="D2:E2"/>
    <mergeCell ref="F2:G2"/>
    <mergeCell ref="I2:J2"/>
    <mergeCell ref="D3:E3"/>
    <mergeCell ref="F3:G3"/>
  </mergeCells>
  <pageMargins left="0.75" right="0.75" top="1" bottom="1" header="0.5" footer="0.5"/>
  <pageSetup orientation="portrait" horizontalDpi="4294967293" verticalDpi="4294967293"/>
  <drawing r:id="rId1"/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6">
    <outlinePr summaryBelow="1" summaryRight="1"/>
    <pageSetUpPr/>
  </sheetPr>
  <dimension ref="A1:P55"/>
  <sheetViews>
    <sheetView topLeftCell="A13" workbookViewId="0">
      <selection activeCell="K14" sqref="K14"/>
    </sheetView>
  </sheetViews>
  <sheetFormatPr baseColWidth="8" defaultRowHeight="12.75"/>
  <cols>
    <col width="12.85546875" customWidth="1" style="8" min="1" max="3"/>
    <col width="13" customWidth="1" style="8" min="4" max="4"/>
    <col width="16.140625" customWidth="1" style="8" min="6" max="6"/>
  </cols>
  <sheetData>
    <row r="1" ht="30.75" customHeight="1" s="8">
      <c r="D1" s="12" t="inlineStr">
        <is>
          <t>Chart Data</t>
        </is>
      </c>
      <c r="H1" s="3" t="n"/>
      <c r="I1" s="3" t="n"/>
      <c r="J1" s="3" t="n"/>
      <c r="K1" s="3" t="n"/>
      <c r="L1" s="3" t="n"/>
      <c r="M1" s="3" t="n"/>
      <c r="N1" s="3" t="n"/>
      <c r="O1" s="3" t="n"/>
      <c r="P1" s="3" t="n"/>
    </row>
    <row r="2">
      <c r="D2" s="19" t="inlineStr">
        <is>
          <t>Job Number:</t>
        </is>
      </c>
      <c r="F2" s="16">
        <f>'Raw Data'!F2</f>
        <v/>
      </c>
      <c r="H2" s="2" t="n"/>
      <c r="I2" s="11" t="n"/>
    </row>
    <row r="3">
      <c r="D3" s="19" t="inlineStr">
        <is>
          <t>Part Number:</t>
        </is>
      </c>
      <c r="F3" s="16">
        <f>'Raw Data'!F3</f>
        <v/>
      </c>
      <c r="H3" s="2" t="n"/>
      <c r="I3" s="11" t="n"/>
      <c r="J3" s="11" t="n"/>
    </row>
    <row r="4">
      <c r="D4" s="19" t="inlineStr">
        <is>
          <t>Serial Number:</t>
        </is>
      </c>
      <c r="F4" s="16" t="inlineStr">
        <is>
          <t>UUT 5</t>
        </is>
      </c>
      <c r="H4" s="2" t="n"/>
      <c r="I4" s="11" t="n"/>
      <c r="J4" s="11" t="n"/>
    </row>
    <row r="5">
      <c r="D5" s="19" t="inlineStr">
        <is>
          <t>Part Type:</t>
        </is>
      </c>
      <c r="F5" s="16">
        <f>'Raw Data'!F4</f>
        <v/>
      </c>
      <c r="H5" s="2" t="n"/>
      <c r="I5" s="11" t="n"/>
    </row>
    <row r="53" ht="15.75" customHeight="1" s="8">
      <c r="B53" s="20" t="inlineStr">
        <is>
          <t>Test Data Follows:</t>
        </is>
      </c>
      <c r="F53" s="20" t="n"/>
      <c r="G53" s="20" t="n"/>
    </row>
    <row r="54" ht="15.75" customHeight="1" s="8">
      <c r="A54" s="20" t="inlineStr">
        <is>
          <t>Chart1</t>
        </is>
      </c>
      <c r="D54" s="20" t="inlineStr">
        <is>
          <t>Chart2</t>
        </is>
      </c>
      <c r="F54" s="20" t="inlineStr">
        <is>
          <t>Chart3</t>
        </is>
      </c>
      <c r="H54" s="20" t="inlineStr">
        <is>
          <t>Chart4</t>
        </is>
      </c>
    </row>
    <row r="55">
      <c r="A55" s="11" t="inlineStr">
        <is>
          <t>Freq MHz</t>
        </is>
      </c>
      <c r="B55" s="11" t="inlineStr">
        <is>
          <t>Trace1</t>
        </is>
      </c>
      <c r="C55" s="11" t="inlineStr">
        <is>
          <t>Trace2</t>
        </is>
      </c>
      <c r="D55" s="11" t="inlineStr">
        <is>
          <t>Freq MHz</t>
        </is>
      </c>
      <c r="E55" s="11" t="inlineStr">
        <is>
          <t>Trace1</t>
        </is>
      </c>
      <c r="F55" s="11" t="inlineStr">
        <is>
          <t>Freq MHz</t>
        </is>
      </c>
      <c r="G55" s="11" t="inlineStr">
        <is>
          <t>Trace1</t>
        </is>
      </c>
      <c r="H55" s="11" t="inlineStr">
        <is>
          <t>Freq MHz</t>
        </is>
      </c>
      <c r="I55" s="11" t="inlineStr">
        <is>
          <t>Trace1</t>
        </is>
      </c>
      <c r="J55" s="10" t="inlineStr">
        <is>
          <t>Trace2</t>
        </is>
      </c>
    </row>
  </sheetData>
  <mergeCells count="16">
    <mergeCell ref="A54:C54"/>
    <mergeCell ref="D54:E54"/>
    <mergeCell ref="F54:G54"/>
    <mergeCell ref="H54:J54"/>
    <mergeCell ref="D4:E4"/>
    <mergeCell ref="F4:G4"/>
    <mergeCell ref="D5:E5"/>
    <mergeCell ref="F5:G5"/>
    <mergeCell ref="I5:J5"/>
    <mergeCell ref="B53:E53"/>
    <mergeCell ref="D1:G1"/>
    <mergeCell ref="D2:E2"/>
    <mergeCell ref="F2:G2"/>
    <mergeCell ref="I2:J2"/>
    <mergeCell ref="D3:E3"/>
    <mergeCell ref="F3:G3"/>
  </mergeCells>
  <pageMargins left="0.75" right="0.75" top="1" bottom="1" header="0.5" footer="0.5"/>
  <pageSetup orientation="portrait" horizontalDpi="4294967293" verticalDpi="4294967293"/>
  <drawing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Michael Ford</dc:creator>
  <dcterms:created xsi:type="dcterms:W3CDTF">2014-08-23T16:40:06Z</dcterms:created>
  <dcterms:modified xsi:type="dcterms:W3CDTF">2021-09-08T18:35:31Z</dcterms:modified>
  <cp:lastModifiedBy>Michael Ford</cp:lastModifiedBy>
  <cp:lastPrinted>2018-02-10T16:54:40Z</cp:lastPrinted>
</cp:coreProperties>
</file>